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200" windowHeight="12090"/>
  </bookViews>
  <sheets>
    <sheet sheetId="1" name="Sheet1" state="visible" r:id="rId4"/>
    <sheet sheetId="4" name="冲头" state="visible" r:id="rId5"/>
    <sheet sheetId="5" name="牙板" state="visible" r:id="rId6"/>
    <sheet sheetId="6" name="Sheet2" state="visible" r:id="rId7"/>
  </sheets>
  <definedNames>
    <definedName name="日期">'OFFSET([1]Sheet1'!$M$14</definedName>
    <definedName name="收入">'OFFSET([1]Sheet1'!$N$14</definedName>
    <definedName name="销售员">'OFFSET(牙板'!$C$5,'COUNT(牙板'!$D$5:$D$9990</definedName>
    <definedName name="销售总额">'OFFSET(牙板'!$D$5,'COUNT(牙板'!$D$5:$D$9990</definedName>
    <definedName name="业务提成">'OFFSET(牙板'!$E$5,'COUNT(牙板'!$E$5:$E$9990</definedName>
    <definedName name="冲头名称数据源">'OFFSET(牙板'!$R$5</definedName>
  </definedNames>
  <calcPr calcId="171027"/>
</workbook>
</file>

<file path=xl/sharedStrings.xml><?xml version="1.0" encoding="utf-8"?>
<sst xmlns="http://schemas.openxmlformats.org/spreadsheetml/2006/main" count="467" uniqueCount="280">
  <si>
    <t>名称</t>
  </si>
  <si>
    <t>头型</t>
  </si>
  <si>
    <t>牙型</t>
  </si>
  <si>
    <t>冲头</t>
  </si>
  <si>
    <t>头/垫片大</t>
  </si>
  <si>
    <t>头高</t>
  </si>
  <si>
    <t>长度</t>
  </si>
  <si>
    <t>牙径</t>
  </si>
  <si>
    <t>光钉长度</t>
  </si>
  <si>
    <t>线材</t>
  </si>
  <si>
    <t>备注</t>
  </si>
  <si>
    <t>2.6  x 12</t>
  </si>
  <si>
    <t>B</t>
  </si>
  <si>
    <t>B束尾</t>
  </si>
  <si>
    <t>26B</t>
  </si>
  <si>
    <t>2 x 8</t>
  </si>
  <si>
    <t>P</t>
  </si>
  <si>
    <t>20P</t>
  </si>
  <si>
    <t>2 x 5</t>
  </si>
  <si>
    <t>p</t>
  </si>
  <si>
    <t>A</t>
  </si>
  <si>
    <t xml:space="preserve">2.5 X 10 </t>
  </si>
  <si>
    <t>26P</t>
  </si>
  <si>
    <t>1.6+0.1</t>
  </si>
  <si>
    <t>2.5 X 6</t>
  </si>
  <si>
    <t>4.1+1</t>
  </si>
  <si>
    <t>1.6+1</t>
  </si>
  <si>
    <t>5.6+0.1</t>
  </si>
  <si>
    <t>3 X10</t>
  </si>
  <si>
    <t>DIN 7985</t>
  </si>
  <si>
    <t>7985 M3 M=2.8</t>
  </si>
  <si>
    <t>5.3 ±0.1</t>
  </si>
  <si>
    <t>2.3±0.1</t>
  </si>
  <si>
    <t>10-0.3</t>
  </si>
  <si>
    <t>9.1±0.1</t>
  </si>
  <si>
    <t xml:space="preserve"> 2.5 X 23</t>
  </si>
  <si>
    <t>7985 M3</t>
  </si>
  <si>
    <t>4.9~5.1</t>
  </si>
  <si>
    <t>1.9-2.0</t>
  </si>
  <si>
    <t>23±0.5</t>
  </si>
  <si>
    <t>2.5~2.6</t>
  </si>
  <si>
    <t>5.5 X 13</t>
  </si>
  <si>
    <t>T</t>
  </si>
  <si>
    <t>60T D=14.5</t>
  </si>
  <si>
    <t>11-0.43</t>
  </si>
  <si>
    <t>3.6-4</t>
  </si>
  <si>
    <t>13±0.8</t>
  </si>
  <si>
    <t>5.4~5.6</t>
  </si>
  <si>
    <t>3 X 8</t>
  </si>
  <si>
    <t>R</t>
  </si>
  <si>
    <t>30R</t>
  </si>
  <si>
    <t>5.3~5.4</t>
  </si>
  <si>
    <t>8.0-0.5</t>
  </si>
  <si>
    <t>2.5 X 8</t>
  </si>
  <si>
    <t>4.05~4.2</t>
  </si>
  <si>
    <t>1.6~2.0</t>
  </si>
  <si>
    <t>2.4~2.6</t>
  </si>
  <si>
    <t>3 X 10</t>
  </si>
  <si>
    <t>K</t>
  </si>
  <si>
    <t>30F</t>
  </si>
  <si>
    <t xml:space="preserve">4.2 X 16 </t>
  </si>
  <si>
    <t>SNK 138 D=6.7</t>
  </si>
  <si>
    <t>4.8 X 25</t>
  </si>
  <si>
    <t>50B</t>
  </si>
  <si>
    <t>4.8 X 18</t>
  </si>
  <si>
    <t>5 X 16</t>
  </si>
  <si>
    <t>梅花带柱</t>
  </si>
  <si>
    <t>M</t>
  </si>
  <si>
    <t>7380 M5 T25 孔1.4</t>
  </si>
  <si>
    <t>4.34 10B21</t>
  </si>
  <si>
    <t>4 X 6</t>
  </si>
  <si>
    <t>40T</t>
  </si>
  <si>
    <t>4.2 X 15</t>
  </si>
  <si>
    <t>PW</t>
  </si>
  <si>
    <t>W=12-0.5</t>
  </si>
  <si>
    <t>介 0.8±0.1</t>
  </si>
  <si>
    <t>15-0.8</t>
  </si>
  <si>
    <t>4.15~4.26</t>
  </si>
  <si>
    <t>4.2 X 10</t>
  </si>
  <si>
    <t>10-0.5</t>
  </si>
  <si>
    <t>1.6±0.15</t>
  </si>
  <si>
    <t>10±0.8</t>
  </si>
  <si>
    <t>4.22-0.18</t>
  </si>
  <si>
    <t>4.2 X 12</t>
  </si>
  <si>
    <t>8.2±0.5</t>
  </si>
  <si>
    <t>12+1.5</t>
  </si>
  <si>
    <t>4.05~4.22</t>
  </si>
  <si>
    <t xml:space="preserve">4.2 X 13 </t>
  </si>
  <si>
    <t>45P</t>
  </si>
  <si>
    <t>W=9.2±0.8</t>
  </si>
  <si>
    <t>11±0.1</t>
  </si>
  <si>
    <t>长度尽量不正公差</t>
  </si>
  <si>
    <t>45T</t>
  </si>
  <si>
    <t>13-0.8</t>
  </si>
  <si>
    <t>2.9 X 16</t>
  </si>
  <si>
    <t>5.3~5.6</t>
  </si>
  <si>
    <t>2.15~2.4</t>
  </si>
  <si>
    <t>16-0.8</t>
  </si>
  <si>
    <t>2.9-0.14</t>
  </si>
  <si>
    <t>4 X 8</t>
  </si>
  <si>
    <t>C</t>
  </si>
  <si>
    <t>无</t>
  </si>
  <si>
    <t>7±0.3</t>
  </si>
  <si>
    <t>1.5±0.15</t>
  </si>
  <si>
    <t>7.7~8.1</t>
  </si>
  <si>
    <t>RW T20</t>
  </si>
  <si>
    <t>T20 R D=6.6</t>
  </si>
  <si>
    <t>8.3-0.3</t>
  </si>
  <si>
    <t>介厚1</t>
  </si>
  <si>
    <t>13-0.2</t>
  </si>
  <si>
    <t>4 X 22</t>
  </si>
  <si>
    <t>M半牙</t>
  </si>
  <si>
    <t>9.6-0.4</t>
  </si>
  <si>
    <t>22-0.2 牙10</t>
  </si>
  <si>
    <t>3.43 10B21</t>
  </si>
  <si>
    <t>3 X 6</t>
  </si>
  <si>
    <t xml:space="preserve">RW T10 </t>
  </si>
  <si>
    <t>T10 R D=5.5</t>
  </si>
  <si>
    <t>7.3-0.4</t>
  </si>
  <si>
    <t>6-0.2</t>
  </si>
  <si>
    <t>2.6 10B21</t>
  </si>
  <si>
    <t xml:space="preserve"> 2.2 X 8</t>
  </si>
  <si>
    <t>20F</t>
  </si>
  <si>
    <t>3.65±0.2</t>
  </si>
  <si>
    <t>8±0.5</t>
  </si>
  <si>
    <t>1.95+0.1</t>
  </si>
  <si>
    <t>V 101 3.5 X 40.5</t>
  </si>
  <si>
    <t>V 字</t>
  </si>
  <si>
    <t>40.5±0.05</t>
  </si>
  <si>
    <t>V 1 3.5 X 46</t>
  </si>
  <si>
    <t>46.0-0.1</t>
  </si>
  <si>
    <t>D 932 3.5 X 44.4</t>
  </si>
  <si>
    <t>D 字</t>
  </si>
  <si>
    <t>9+0.35</t>
  </si>
  <si>
    <t>44.4+0.1</t>
  </si>
  <si>
    <t>6390 3.5 X 38</t>
  </si>
  <si>
    <t>9.1~9.3</t>
  </si>
  <si>
    <t>38-0.1</t>
  </si>
  <si>
    <t>913 3.8 X 34.4</t>
  </si>
  <si>
    <t>9.2~9.3</t>
  </si>
  <si>
    <t>2.3~2.4</t>
  </si>
  <si>
    <t>34.4+0.1</t>
  </si>
  <si>
    <t>N 1 3.5 X 46</t>
  </si>
  <si>
    <t>45.7±0.05</t>
  </si>
  <si>
    <t>P620 3.2 X 43.5</t>
  </si>
  <si>
    <t>9.3~9.4</t>
  </si>
  <si>
    <t>43.5±0.05</t>
  </si>
  <si>
    <t>2.6 X 8</t>
  </si>
  <si>
    <t>4.5-0.5</t>
  </si>
  <si>
    <t>1.7±0.2</t>
  </si>
  <si>
    <t>2.4~2.7</t>
  </si>
  <si>
    <t>5.2±0.3</t>
  </si>
  <si>
    <t>1.9±0.2</t>
  </si>
  <si>
    <t>3.0±0.15</t>
  </si>
  <si>
    <t xml:space="preserve">3.5 X 13 </t>
  </si>
  <si>
    <t>BW</t>
  </si>
  <si>
    <t>30B 包边</t>
  </si>
  <si>
    <t>4.8 X 13</t>
  </si>
  <si>
    <t>50P</t>
  </si>
  <si>
    <t>11.7±0.5</t>
  </si>
  <si>
    <t>3.6±0.3</t>
  </si>
  <si>
    <t>13±0.5</t>
  </si>
  <si>
    <t>4.9±0.2</t>
  </si>
  <si>
    <t>束尾</t>
  </si>
  <si>
    <t>11.5~12</t>
  </si>
  <si>
    <t>介 1.0-0.3</t>
  </si>
  <si>
    <t>4.8 X16</t>
  </si>
  <si>
    <r>
      <rPr>
        <b/>
        <charset val="134"/>
        <color rgb="FF000000"/>
        <sz val="16"/>
        <rFont val="思源黑体 Bold"/>
      </rPr>
      <t>采购明细</t>
    </r>
    <r>
      <rPr>
        <b/>
        <charset val="134"/>
        <color rgb="FF000000"/>
        <sz val="12"/>
        <rFont val="思源黑体 Bold"/>
      </rPr>
      <t xml:space="preserve">  </t>
    </r>
  </si>
  <si>
    <r>
      <rPr>
        <b/>
        <charset val="134"/>
        <color rgb="FF000000"/>
        <sz val="16"/>
        <rFont val="思源黑体 Bold"/>
      </rPr>
      <t>领用明细</t>
    </r>
    <r>
      <rPr>
        <b/>
        <charset val="134"/>
        <color rgb="FF000000"/>
        <sz val="18"/>
        <rFont val="思源黑体 Bold"/>
      </rPr>
      <t xml:space="preserve"> </t>
    </r>
  </si>
  <si>
    <t xml:space="preserve">库存统计 </t>
  </si>
  <si>
    <t>采购日期</t>
  </si>
  <si>
    <t>用品</t>
  </si>
  <si>
    <t>数量</t>
  </si>
  <si>
    <t>领用日期</t>
  </si>
  <si>
    <t>领用数量</t>
  </si>
  <si>
    <t>用处</t>
  </si>
  <si>
    <t>采购数量</t>
  </si>
  <si>
    <t>库存数量</t>
  </si>
  <si>
    <t>安全库存</t>
  </si>
  <si>
    <t>补货提醒</t>
  </si>
  <si>
    <t>JMP M45 14*15</t>
  </si>
  <si>
    <t>JMP M50 18*18</t>
  </si>
  <si>
    <t>7985 M3 12*15</t>
  </si>
  <si>
    <t>JMB M=3.9 D=10.2 14*15 白冲</t>
  </si>
  <si>
    <t>7985 M3 M=2.8 12*15</t>
  </si>
  <si>
    <t>JMB M=3.9 D=10.2 14*15</t>
  </si>
  <si>
    <t>JMP M26 12*15</t>
  </si>
  <si>
    <t>JMB M26 12*15</t>
  </si>
  <si>
    <t>JMB M50 M=3.9 D=10.2 14*15</t>
  </si>
  <si>
    <t>JMT 50B 14*15</t>
  </si>
  <si>
    <t>JMB M50 M=3.9 D=10.2 14*15 白冲</t>
  </si>
  <si>
    <t>JMT M45 14*15</t>
  </si>
  <si>
    <t>JMF M30 12*15</t>
  </si>
  <si>
    <t>JMP M40 18*18</t>
  </si>
  <si>
    <t>JMP M20 12*15</t>
  </si>
  <si>
    <t>JMP M20-5 12*15</t>
  </si>
  <si>
    <t>JMR M30  12*15</t>
  </si>
  <si>
    <t>JMT M60 D=14.5 18*18</t>
  </si>
  <si>
    <t>SNK 138 D=6.7 14*15</t>
  </si>
  <si>
    <t>SNK 138 D=6.7 18*18</t>
  </si>
  <si>
    <t>线径</t>
  </si>
  <si>
    <t>M1.7-48*6</t>
  </si>
  <si>
    <t>M1.7-48 B</t>
  </si>
  <si>
    <t>M2-32*6</t>
  </si>
  <si>
    <t xml:space="preserve"> </t>
  </si>
  <si>
    <t>#10-13B</t>
  </si>
  <si>
    <t>1/4</t>
  </si>
  <si>
    <t>003</t>
  </si>
  <si>
    <t>M1.7-48*8</t>
  </si>
  <si>
    <t>M1.7-48B</t>
  </si>
  <si>
    <t>M2.5-0.45B</t>
  </si>
  <si>
    <t>M2.5-1.1B</t>
  </si>
  <si>
    <t>M2.5-28*14</t>
  </si>
  <si>
    <t>M2.5-28*8</t>
  </si>
  <si>
    <t>M2.6-0.45B</t>
  </si>
  <si>
    <t>M2.6-28*10</t>
  </si>
  <si>
    <t>M2.6-28*11.8束</t>
  </si>
  <si>
    <t>M2.6-32*6.3</t>
  </si>
  <si>
    <t>M2.6-45B</t>
  </si>
  <si>
    <t>?</t>
  </si>
  <si>
    <t>M2.9-1.1*10</t>
  </si>
  <si>
    <t>M2.9-10.6*8束</t>
  </si>
  <si>
    <t>M2.9-24*9.5</t>
  </si>
  <si>
    <t>M2-32*7.7F</t>
  </si>
  <si>
    <t>M2-32*8F</t>
  </si>
  <si>
    <t>M2-32B</t>
  </si>
  <si>
    <t>M3-20*10</t>
  </si>
  <si>
    <t>M3-24*10F</t>
  </si>
  <si>
    <t>M2-40B</t>
  </si>
  <si>
    <t>003*2</t>
  </si>
  <si>
    <t>M3-20*9.8</t>
  </si>
  <si>
    <t>M3-24*8割尾</t>
  </si>
  <si>
    <t>M4.2-18B</t>
  </si>
  <si>
    <t>M4.8-1.6*13</t>
  </si>
  <si>
    <t>M4.8-16*13束</t>
  </si>
  <si>
    <t>M4.8-16*19</t>
  </si>
  <si>
    <t>M4-16 高低牙</t>
  </si>
  <si>
    <t>M5.5-14*19</t>
  </si>
  <si>
    <t>M6.3-1.81B</t>
  </si>
  <si>
    <t>M6-1.6B</t>
  </si>
  <si>
    <t>M6-2.6*41.5F</t>
  </si>
  <si>
    <t>M6-2.6*45F</t>
  </si>
  <si>
    <t>M6-2.6*60F</t>
  </si>
  <si>
    <t>M4.8-16B</t>
  </si>
  <si>
    <t>1/4*2</t>
  </si>
  <si>
    <t>M6-1.0*12三角牙</t>
  </si>
  <si>
    <t>M6-1.0*16三角牙</t>
  </si>
  <si>
    <t>M6-1.0*22三角牙</t>
  </si>
  <si>
    <t>M6-14*15</t>
  </si>
  <si>
    <t>M4.8-16*16</t>
  </si>
  <si>
    <t>1/4*3</t>
  </si>
  <si>
    <t>M5.5-16*13</t>
  </si>
  <si>
    <t>M4.2-14*19 D/W</t>
  </si>
  <si>
    <t>3/16</t>
  </si>
  <si>
    <t>M2.9-24*16</t>
  </si>
  <si>
    <t>M3.5-18*13</t>
  </si>
  <si>
    <t>M4.1-18*13</t>
  </si>
  <si>
    <t>M4.2*10束</t>
  </si>
  <si>
    <t>M4.2-18*13F</t>
  </si>
  <si>
    <t>M4.2-18*13束</t>
  </si>
  <si>
    <t>M4.2-18*16</t>
  </si>
  <si>
    <t>M4.2-18X16</t>
  </si>
  <si>
    <t>M4-0.7</t>
  </si>
  <si>
    <t>M4-0.7*20束</t>
  </si>
  <si>
    <t>M4-0.7*8束</t>
  </si>
  <si>
    <t>M4-16*19.5</t>
  </si>
  <si>
    <t>M4-16*29</t>
  </si>
  <si>
    <t>M4-16*32</t>
  </si>
  <si>
    <t>M4-18*10束</t>
  </si>
  <si>
    <t>M4-18*15束</t>
  </si>
  <si>
    <t>M4-18*9束</t>
  </si>
  <si>
    <t>M5-0.8*8束</t>
  </si>
  <si>
    <t>M5-16*14束</t>
  </si>
  <si>
    <t>3/16*2</t>
  </si>
  <si>
    <t>M4.2-18*12F</t>
  </si>
  <si>
    <t>M4.2-18*13</t>
  </si>
  <si>
    <t>M4-0.7*12束</t>
  </si>
  <si>
    <t>M6-1.0</t>
  </si>
  <si>
    <t>M4.2-14*15.5 D/W</t>
  </si>
  <si>
    <t>3/16*4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</si>
</sst>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 h:mm;@"/>
    <numFmt numFmtId="165" formatCode="0.00_ "/>
  </numFmts>
  <fonts count="21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theme="1"/>
      <sz val="12"/>
      <name val="微软雅黑"/>
    </font>
    <font>
      <charset val="134"/>
      <color theme="1"/>
      <sz val="12"/>
      <name val="微软雅黑"/>
    </font>
    <font>
      <charset val="134"/>
      <color rgb="FF808080"/>
      <sz val="11"/>
      <name val="思源黑体 Bold"/>
    </font>
    <font>
      <charset val="134"/>
      <color rgb="FF808080"/>
      <sz val="10"/>
      <name val="思源黑体 Bold"/>
    </font>
    <font>
      <charset val="134"/>
      <color rgb="FF000000"/>
      <sz val="11"/>
      <name val="思源黑体 Bold"/>
    </font>
    <font>
      <charset val="134"/>
      <color rgb="FF000000"/>
      <sz val="10"/>
      <name val="思源黑体 Bold"/>
    </font>
    <font>
      <b/>
      <charset val="134"/>
      <color rgb="FF000000"/>
      <sz val="18"/>
      <name val="思源黑体 Bold"/>
    </font>
    <font>
      <b/>
      <charset val="134"/>
      <color rgb="FF000000"/>
      <sz val="16"/>
      <name val="思源黑体 Bold"/>
    </font>
    <font>
      <b/>
      <charset val="134"/>
      <color rgb="FF000000"/>
      <sz val="10"/>
      <name val="思源黑体 Bold"/>
    </font>
    <font>
      <charset val="134"/>
      <color rgb="FF000000"/>
      <sz val="12"/>
      <name val="思源黑体 Bold"/>
    </font>
    <font>
      <b/>
      <charset val="134"/>
      <color rgb="FFFFFFFF"/>
      <sz val="12"/>
      <name val="思源黑体 Bold"/>
    </font>
    <font>
      <b/>
      <charset val="134"/>
      <color rgb="FFFFFFFF"/>
      <sz val="10"/>
      <name val="思源黑体 Bold"/>
    </font>
    <font>
      <charset val="134"/>
      <color rgb="FF595959"/>
      <sz val="12"/>
      <name val="思源黑体 Bold"/>
    </font>
    <font>
      <charset val="134"/>
      <sz val="12"/>
      <name val="微软雅黑"/>
    </font>
    <font>
      <charset val="134"/>
      <sz val="10"/>
      <name val="微软雅黑"/>
    </font>
    <font>
      <u/>
      <charset val="134"/>
      <sz val="12"/>
      <name val="微软雅黑"/>
    </font>
    <font>
      <charset val="134"/>
      <color rgb="FF808080"/>
      <sz val="12"/>
      <name val="微软雅黑"/>
    </font>
    <font>
      <charset val="134"/>
      <color rgb="FF808080"/>
      <sz val="10"/>
      <name val="微软雅黑"/>
    </font>
    <font>
      <charset val="134"/>
      <color rgb="FF000000"/>
      <sz val="11"/>
      <name val="宋体"/>
    </font>
  </fonts>
  <fills count="9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9F8FF"/>
        <bgColor indexed="64"/>
      </patternFill>
    </fill>
    <fill>
      <patternFill patternType="solid">
        <fgColor rgb="FFFFFFFF"/>
        <bgColor indexed="64"/>
      </patternFill>
    </fill>
    <fill>
      <gradientFill>
        <stop position="0">
          <color rgb="FFF6F8FC"/>
        </stop>
        <stop position="1">
          <color rgb="FFDDDEE0"/>
        </stop>
      </gradientFill>
    </fill>
    <fill>
      <patternFill patternType="solid">
        <fgColor rgb="FF46328D"/>
        <bgColor indexed="64"/>
      </patternFill>
    </fill>
    <fill>
      <patternFill patternType="solid">
        <fgColor rgb="FF88C9BE"/>
        <bgColor indexed="64"/>
      </patternFill>
    </fill>
    <fill>
      <patternFill patternType="solid">
        <fgColor rgb="FFFDCB51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FFFFF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 style="thin">
        <color rgb="FFFFFFF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164" fontId="9" fillId="4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164" fontId="8" fillId="4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4" fontId="12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4" fontId="12" fillId="7" borderId="5" xfId="0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 shrinkToFit="1"/>
    </xf>
    <xf numFmtId="0" fontId="15" fillId="4" borderId="4" xfId="0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5" fillId="4" borderId="8" xfId="0" applyFont="1" applyFill="1" applyBorder="1" applyAlignment="1">
      <alignment horizontal="center" vertical="center" shrinkToFit="1"/>
    </xf>
    <xf numFmtId="0" fontId="17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/>
    </xf>
    <xf numFmtId="164" fontId="18" fillId="3" borderId="0" xfId="0" applyNumberFormat="1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12" fillId="8" borderId="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3"/>
  <sheetViews>
    <sheetView workbookViewId="0" zoomScale="100" zoomScaleNormal="100">
      <selection activeCell="E34" sqref="E34"/>
    </sheetView>
  </sheetViews>
  <sheetFormatPr defaultRowHeight="13.5" outlineLevelRow="0" outlineLevelCol="0" x14ac:dyDescent="0" defaultColWidth="9" customHeight="1"/>
  <cols>
    <col min="1" max="1" width="17.125" style="1" customWidth="1"/>
    <col min="2" max="2" width="11.625" customWidth="1"/>
    <col min="3" max="3" width="9.75" customWidth="1"/>
    <col min="4" max="4" width="20" customWidth="1"/>
    <col min="5" max="5" width="14" customWidth="1"/>
    <col min="6" max="6" width="13.875" customWidth="1"/>
    <col min="7" max="7" width="14.875" customWidth="1"/>
    <col min="8" max="8" width="15.25" customWidth="1"/>
    <col min="9" max="9" width="13.625" customWidth="1"/>
    <col min="10" max="10" width="15.125" customWidth="1"/>
    <col min="11" max="11" width="30.75" customWidth="1"/>
  </cols>
  <sheetData>
    <row r="1" ht="23" customHeight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</row>
    <row r="2" ht="28" customHeight="1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>
        <v>5.3</v>
      </c>
      <c r="F2" s="3">
        <v>1.6</v>
      </c>
      <c r="G2" s="3"/>
      <c r="H2" s="3"/>
      <c r="I2" s="3">
        <v>11</v>
      </c>
      <c r="J2" s="3">
        <v>2.05</v>
      </c>
      <c r="K2" s="3"/>
    </row>
    <row r="3" ht="28" customHeight="1" spans="1:11" x14ac:dyDescent="0.25">
      <c r="A3" s="4" t="s">
        <v>15</v>
      </c>
      <c r="B3" s="4" t="s">
        <v>16</v>
      </c>
      <c r="C3" s="4" t="s">
        <v>12</v>
      </c>
      <c r="D3" s="4" t="s">
        <v>17</v>
      </c>
      <c r="E3" s="4">
        <v>3.3</v>
      </c>
      <c r="F3" s="4">
        <v>1.3</v>
      </c>
      <c r="G3" s="4"/>
      <c r="H3" s="4"/>
      <c r="I3" s="4">
        <v>7.4</v>
      </c>
      <c r="J3" s="4">
        <v>1.6</v>
      </c>
      <c r="K3" s="4"/>
    </row>
    <row r="4" ht="28" customHeight="1" spans="1:11" x14ac:dyDescent="0.25">
      <c r="A4" s="5" t="s">
        <v>18</v>
      </c>
      <c r="B4" s="5" t="s">
        <v>19</v>
      </c>
      <c r="C4" s="5" t="s">
        <v>20</v>
      </c>
      <c r="D4" s="5" t="s">
        <v>17</v>
      </c>
      <c r="E4" s="5">
        <v>3.3</v>
      </c>
      <c r="F4" s="5">
        <v>1.3</v>
      </c>
      <c r="G4" s="5"/>
      <c r="H4" s="5"/>
      <c r="I4" s="5">
        <v>4.5</v>
      </c>
      <c r="J4" s="5">
        <v>1.6</v>
      </c>
      <c r="K4" s="5"/>
    </row>
    <row r="5" ht="28" customHeight="1" spans="1:11" x14ac:dyDescent="0.25">
      <c r="A5" s="4" t="s">
        <v>21</v>
      </c>
      <c r="B5" s="4" t="s">
        <v>16</v>
      </c>
      <c r="C5" s="4" t="s">
        <v>20</v>
      </c>
      <c r="D5" s="4" t="s">
        <v>22</v>
      </c>
      <c r="E5" s="4">
        <v>4.1</v>
      </c>
      <c r="F5" s="4" t="s">
        <v>23</v>
      </c>
      <c r="G5" s="4"/>
      <c r="H5" s="4"/>
      <c r="I5" s="4">
        <v>9.4</v>
      </c>
      <c r="J5" s="4">
        <v>1.98</v>
      </c>
      <c r="K5" s="4"/>
    </row>
    <row r="6" ht="28" customHeight="1" spans="1:11" x14ac:dyDescent="0.25">
      <c r="A6" s="5" t="s">
        <v>24</v>
      </c>
      <c r="B6" s="5" t="s">
        <v>16</v>
      </c>
      <c r="C6" s="5" t="s">
        <v>12</v>
      </c>
      <c r="D6" s="5" t="s">
        <v>22</v>
      </c>
      <c r="E6" s="5" t="s">
        <v>25</v>
      </c>
      <c r="F6" s="5" t="s">
        <v>26</v>
      </c>
      <c r="G6" s="5"/>
      <c r="H6" s="5"/>
      <c r="I6" s="5" t="s">
        <v>27</v>
      </c>
      <c r="J6" s="5">
        <v>1.98</v>
      </c>
      <c r="K6" s="5"/>
    </row>
    <row r="7" ht="28" customHeight="1" spans="1:11" x14ac:dyDescent="0.25">
      <c r="A7" s="4" t="s">
        <v>28</v>
      </c>
      <c r="B7" s="4" t="s">
        <v>29</v>
      </c>
      <c r="C7" s="4"/>
      <c r="D7" s="4" t="s">
        <v>30</v>
      </c>
      <c r="E7" s="4" t="s">
        <v>31</v>
      </c>
      <c r="F7" s="4" t="s">
        <v>32</v>
      </c>
      <c r="G7" s="4" t="s">
        <v>33</v>
      </c>
      <c r="H7" s="4"/>
      <c r="I7" s="4" t="s">
        <v>34</v>
      </c>
      <c r="J7" s="4"/>
      <c r="K7" s="4"/>
    </row>
    <row r="8" ht="28" customHeight="1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28" customHeight="1" spans="1:11" x14ac:dyDescent="0.25">
      <c r="A9" s="4" t="s">
        <v>35</v>
      </c>
      <c r="B9" s="4" t="s">
        <v>29</v>
      </c>
      <c r="C9" s="4" t="s">
        <v>12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/>
      <c r="J9" s="4">
        <v>1.98</v>
      </c>
      <c r="K9" s="4"/>
    </row>
    <row r="10" ht="28" customHeight="1" spans="1:11" x14ac:dyDescent="0.25">
      <c r="A10" s="5" t="s">
        <v>41</v>
      </c>
      <c r="B10" s="5" t="s">
        <v>42</v>
      </c>
      <c r="C10" s="5"/>
      <c r="D10" s="5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5"/>
      <c r="J10" s="5">
        <v>4.38</v>
      </c>
      <c r="K10" s="5"/>
    </row>
    <row r="11" ht="28" customHeight="1" spans="1:11" x14ac:dyDescent="0.25">
      <c r="A11" s="4" t="s">
        <v>48</v>
      </c>
      <c r="B11" s="4" t="s">
        <v>49</v>
      </c>
      <c r="C11" s="4" t="s">
        <v>42</v>
      </c>
      <c r="D11" s="4" t="s">
        <v>50</v>
      </c>
      <c r="E11" s="4" t="s">
        <v>51</v>
      </c>
      <c r="F11" s="4"/>
      <c r="G11" s="4" t="s">
        <v>52</v>
      </c>
      <c r="H11" s="4"/>
      <c r="I11" s="4"/>
      <c r="J11" s="4">
        <v>2.33</v>
      </c>
      <c r="K11" s="4"/>
    </row>
    <row r="12" ht="28" customHeight="1" spans="1:11" x14ac:dyDescent="0.25">
      <c r="A12" s="5" t="s">
        <v>53</v>
      </c>
      <c r="B12" s="5" t="s">
        <v>12</v>
      </c>
      <c r="C12" s="5" t="s">
        <v>20</v>
      </c>
      <c r="D12" s="5" t="s">
        <v>14</v>
      </c>
      <c r="E12" s="5" t="s">
        <v>54</v>
      </c>
      <c r="F12" s="5" t="s">
        <v>55</v>
      </c>
      <c r="G12" s="5" t="s">
        <v>52</v>
      </c>
      <c r="H12" s="5" t="s">
        <v>56</v>
      </c>
      <c r="I12" s="5"/>
      <c r="J12" s="5">
        <v>1.98</v>
      </c>
      <c r="K12" s="5"/>
    </row>
    <row r="13" ht="28" customHeight="1" spans="1:11" x14ac:dyDescent="0.25">
      <c r="A13" s="4" t="s">
        <v>57</v>
      </c>
      <c r="B13" s="4" t="s">
        <v>58</v>
      </c>
      <c r="C13" s="4" t="s">
        <v>20</v>
      </c>
      <c r="D13" s="4" t="s">
        <v>59</v>
      </c>
      <c r="E13" s="4"/>
      <c r="F13" s="4"/>
      <c r="G13" s="4"/>
      <c r="H13" s="4"/>
      <c r="I13" s="4"/>
      <c r="J13" s="4">
        <v>2.28</v>
      </c>
      <c r="K13" s="4"/>
    </row>
    <row r="14" ht="28" customHeight="1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28" customHeight="1" spans="1:11" x14ac:dyDescent="0.25">
      <c r="A15" s="4" t="s">
        <v>60</v>
      </c>
      <c r="B15" s="4"/>
      <c r="C15" s="4"/>
      <c r="D15" s="4" t="s">
        <v>61</v>
      </c>
      <c r="E15" s="4"/>
      <c r="F15" s="4"/>
      <c r="G15" s="4"/>
      <c r="H15" s="4"/>
      <c r="I15" s="4"/>
      <c r="J15" s="4">
        <v>2.88</v>
      </c>
      <c r="K15" s="4"/>
    </row>
    <row r="16" ht="28" customHeight="1" spans="1:11" x14ac:dyDescent="0.25">
      <c r="A16" s="5" t="s">
        <v>62</v>
      </c>
      <c r="B16" s="5" t="s">
        <v>12</v>
      </c>
      <c r="C16" s="5" t="s">
        <v>12</v>
      </c>
      <c r="D16" s="5" t="s">
        <v>63</v>
      </c>
      <c r="E16" s="5"/>
      <c r="F16" s="5"/>
      <c r="G16" s="5"/>
      <c r="H16" s="5"/>
      <c r="I16" s="5"/>
      <c r="J16" s="5">
        <v>3.68</v>
      </c>
      <c r="K16" s="5"/>
    </row>
    <row r="17" ht="28" customHeight="1" spans="1:11" x14ac:dyDescent="0.25">
      <c r="A17" s="4" t="s">
        <v>64</v>
      </c>
      <c r="B17" s="4" t="s">
        <v>12</v>
      </c>
      <c r="C17" s="4" t="s">
        <v>12</v>
      </c>
      <c r="D17" s="4" t="s">
        <v>63</v>
      </c>
      <c r="E17" s="4"/>
      <c r="F17" s="4"/>
      <c r="G17" s="4"/>
      <c r="H17" s="4"/>
      <c r="I17" s="4"/>
      <c r="J17" s="4">
        <v>3.68</v>
      </c>
      <c r="K17" s="4"/>
    </row>
    <row r="18" ht="28" customHeight="1" spans="1:11" x14ac:dyDescent="0.25">
      <c r="A18" s="5" t="s">
        <v>65</v>
      </c>
      <c r="B18" s="5" t="s">
        <v>66</v>
      </c>
      <c r="C18" s="5" t="s">
        <v>67</v>
      </c>
      <c r="D18" s="5" t="s">
        <v>68</v>
      </c>
      <c r="E18" s="5"/>
      <c r="F18" s="5"/>
      <c r="G18" s="5"/>
      <c r="H18" s="5"/>
      <c r="I18" s="5"/>
      <c r="J18" s="5" t="s">
        <v>69</v>
      </c>
      <c r="K18" s="5"/>
    </row>
    <row r="19" ht="28" customHeight="1" spans="1:11" x14ac:dyDescent="0.25">
      <c r="A19" s="4" t="s">
        <v>70</v>
      </c>
      <c r="B19" s="4" t="s">
        <v>42</v>
      </c>
      <c r="C19" s="4" t="s">
        <v>67</v>
      </c>
      <c r="D19" s="4" t="s">
        <v>71</v>
      </c>
      <c r="E19" s="4">
        <v>8.5</v>
      </c>
      <c r="F19" s="4">
        <v>2.5</v>
      </c>
      <c r="G19" s="4"/>
      <c r="H19" s="4"/>
      <c r="I19" s="4"/>
      <c r="J19" s="4">
        <v>3.43</v>
      </c>
      <c r="K19" s="4"/>
    </row>
    <row r="20" ht="28" customHeight="1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28" customHeight="1" spans="1:11" x14ac:dyDescent="0.25">
      <c r="A21" s="4" t="s">
        <v>72</v>
      </c>
      <c r="B21" s="4" t="s">
        <v>73</v>
      </c>
      <c r="C21" s="4" t="s">
        <v>12</v>
      </c>
      <c r="D21" s="4"/>
      <c r="E21" s="4" t="s">
        <v>74</v>
      </c>
      <c r="F21" s="4" t="s">
        <v>75</v>
      </c>
      <c r="G21" s="4" t="s">
        <v>76</v>
      </c>
      <c r="H21" s="4" t="s">
        <v>77</v>
      </c>
      <c r="I21" s="4"/>
      <c r="J21" s="4"/>
      <c r="K21" s="4"/>
    </row>
    <row r="22" ht="28" customHeight="1" spans="1:11" x14ac:dyDescent="0.25">
      <c r="A22" s="5" t="s">
        <v>78</v>
      </c>
      <c r="B22" s="5"/>
      <c r="C22" s="5"/>
      <c r="D22" s="5"/>
      <c r="E22" s="5" t="s">
        <v>79</v>
      </c>
      <c r="F22" s="5" t="s">
        <v>80</v>
      </c>
      <c r="G22" s="5" t="s">
        <v>81</v>
      </c>
      <c r="H22" s="5" t="s">
        <v>82</v>
      </c>
      <c r="I22" s="5"/>
      <c r="J22" s="5"/>
      <c r="K22" s="5"/>
    </row>
    <row r="23" ht="28" customHeight="1" spans="1:11" x14ac:dyDescent="0.25">
      <c r="A23" s="4" t="s">
        <v>83</v>
      </c>
      <c r="B23" s="4" t="s">
        <v>58</v>
      </c>
      <c r="C23" s="4" t="s">
        <v>20</v>
      </c>
      <c r="D23" s="4"/>
      <c r="E23" s="4" t="s">
        <v>84</v>
      </c>
      <c r="F23" s="4"/>
      <c r="G23" s="4" t="s">
        <v>85</v>
      </c>
      <c r="H23" s="4" t="s">
        <v>86</v>
      </c>
      <c r="I23" s="4"/>
      <c r="J23" s="4">
        <v>3.2</v>
      </c>
      <c r="K23" s="4"/>
    </row>
    <row r="24" ht="28" customHeight="1" spans="1:11" x14ac:dyDescent="0.25">
      <c r="A24" s="5" t="s">
        <v>87</v>
      </c>
      <c r="B24" s="5" t="s">
        <v>73</v>
      </c>
      <c r="C24" s="5" t="s">
        <v>20</v>
      </c>
      <c r="D24" s="5" t="s">
        <v>88</v>
      </c>
      <c r="E24" s="5" t="s">
        <v>89</v>
      </c>
      <c r="F24" s="5"/>
      <c r="G24" s="5" t="s">
        <v>46</v>
      </c>
      <c r="H24" s="5"/>
      <c r="I24" s="5" t="s">
        <v>90</v>
      </c>
      <c r="J24" s="5">
        <v>3.31</v>
      </c>
      <c r="K24" s="5" t="s">
        <v>91</v>
      </c>
    </row>
    <row r="25" ht="28" customHeight="1" spans="1:11" x14ac:dyDescent="0.25">
      <c r="A25" s="4" t="s">
        <v>87</v>
      </c>
      <c r="B25" s="4" t="s">
        <v>42</v>
      </c>
      <c r="C25" s="4" t="s">
        <v>20</v>
      </c>
      <c r="D25" s="4" t="s">
        <v>92</v>
      </c>
      <c r="E25" s="4"/>
      <c r="F25" s="4"/>
      <c r="G25" s="4" t="s">
        <v>93</v>
      </c>
      <c r="H25" s="4"/>
      <c r="I25" s="4" t="s">
        <v>90</v>
      </c>
      <c r="J25" s="4">
        <v>3.31</v>
      </c>
      <c r="K25" s="4" t="s">
        <v>91</v>
      </c>
    </row>
    <row r="26" ht="28" customHeight="1" spans="1:11" x14ac:dyDescent="0.25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</row>
    <row r="27" ht="28" customHeight="1" spans="1:11" x14ac:dyDescent="0.25">
      <c r="A27" s="3" t="s">
        <v>94</v>
      </c>
      <c r="B27" s="3" t="s">
        <v>29</v>
      </c>
      <c r="C27" s="3" t="s">
        <v>20</v>
      </c>
      <c r="D27" s="3" t="s">
        <v>30</v>
      </c>
      <c r="E27" s="3" t="s">
        <v>95</v>
      </c>
      <c r="F27" s="3" t="s">
        <v>96</v>
      </c>
      <c r="G27" s="3" t="s">
        <v>97</v>
      </c>
      <c r="H27" s="3" t="s">
        <v>98</v>
      </c>
      <c r="I27" s="3"/>
      <c r="J27" s="3">
        <v>2.28</v>
      </c>
      <c r="K27" s="3"/>
    </row>
    <row r="28" ht="28" customHeight="1" spans="1:11" x14ac:dyDescent="0.25">
      <c r="A28" s="4" t="s">
        <v>99</v>
      </c>
      <c r="B28" s="4" t="s">
        <v>100</v>
      </c>
      <c r="C28" s="4" t="s">
        <v>101</v>
      </c>
      <c r="D28" s="4" t="s">
        <v>101</v>
      </c>
      <c r="E28" s="4" t="s">
        <v>102</v>
      </c>
      <c r="F28" s="4" t="s">
        <v>103</v>
      </c>
      <c r="G28" s="4" t="s">
        <v>104</v>
      </c>
      <c r="H28" s="4" t="s">
        <v>101</v>
      </c>
      <c r="I28" s="4"/>
      <c r="J28" s="4">
        <v>3.9</v>
      </c>
      <c r="K28" s="4"/>
    </row>
    <row r="29" ht="28" customHeight="1" spans="1:11" x14ac:dyDescent="0.25">
      <c r="A29" s="5" t="s">
        <v>87</v>
      </c>
      <c r="B29" s="5" t="s">
        <v>105</v>
      </c>
      <c r="C29" s="5" t="s">
        <v>13</v>
      </c>
      <c r="D29" s="5" t="s">
        <v>106</v>
      </c>
      <c r="E29" s="5" t="s">
        <v>107</v>
      </c>
      <c r="F29" s="5" t="s">
        <v>108</v>
      </c>
      <c r="G29" s="5" t="s">
        <v>109</v>
      </c>
      <c r="H29" s="5"/>
      <c r="I29" s="5"/>
      <c r="J29" s="5">
        <v>3.2</v>
      </c>
      <c r="K29" s="5"/>
    </row>
    <row r="30" ht="28" customHeight="1" spans="1:11" x14ac:dyDescent="0.25">
      <c r="A30" s="4" t="s">
        <v>110</v>
      </c>
      <c r="B30" s="4" t="s">
        <v>105</v>
      </c>
      <c r="C30" s="4" t="s">
        <v>111</v>
      </c>
      <c r="D30" s="4" t="s">
        <v>106</v>
      </c>
      <c r="E30" s="4" t="s">
        <v>112</v>
      </c>
      <c r="F30" s="4" t="s">
        <v>108</v>
      </c>
      <c r="G30" s="6" t="s">
        <v>113</v>
      </c>
      <c r="H30" s="4"/>
      <c r="I30" s="4"/>
      <c r="J30" s="4" t="s">
        <v>114</v>
      </c>
      <c r="K30" s="4"/>
    </row>
    <row r="31" ht="28" customHeight="1" spans="1:11" x14ac:dyDescent="0.25">
      <c r="A31" s="5" t="s">
        <v>115</v>
      </c>
      <c r="B31" s="5" t="s">
        <v>116</v>
      </c>
      <c r="C31" s="5" t="s">
        <v>67</v>
      </c>
      <c r="D31" s="5" t="s">
        <v>117</v>
      </c>
      <c r="E31" s="5" t="s">
        <v>118</v>
      </c>
      <c r="F31" s="5" t="s">
        <v>108</v>
      </c>
      <c r="G31" s="5" t="s">
        <v>119</v>
      </c>
      <c r="H31" s="5"/>
      <c r="I31" s="5"/>
      <c r="J31" s="5" t="s">
        <v>120</v>
      </c>
      <c r="K31" s="5"/>
    </row>
    <row r="32" ht="28" customHeight="1" spans="1:11" x14ac:dyDescent="0.25">
      <c r="A32" s="4" t="s">
        <v>121</v>
      </c>
      <c r="B32" s="4" t="s">
        <v>58</v>
      </c>
      <c r="C32" s="4" t="s">
        <v>20</v>
      </c>
      <c r="D32" s="4" t="s">
        <v>122</v>
      </c>
      <c r="E32" s="4" t="s">
        <v>123</v>
      </c>
      <c r="F32" s="4"/>
      <c r="G32" s="4" t="s">
        <v>124</v>
      </c>
      <c r="H32" s="4" t="s">
        <v>125</v>
      </c>
      <c r="I32" s="4"/>
      <c r="J32" s="4">
        <v>1.6</v>
      </c>
      <c r="K32" s="4"/>
    </row>
    <row r="33" ht="28" customHeight="1" spans="1:11" x14ac:dyDescent="0.25">
      <c r="A33" s="5"/>
      <c r="B33" s="7"/>
      <c r="C33" s="7"/>
      <c r="D33" s="7"/>
      <c r="E33" s="5"/>
      <c r="F33" s="5"/>
      <c r="G33" s="5"/>
      <c r="H33" s="5"/>
      <c r="I33" s="5"/>
      <c r="J33" s="5"/>
      <c r="K33" s="5"/>
    </row>
    <row r="34" ht="28" customHeight="1" spans="1:11" x14ac:dyDescent="0.25">
      <c r="A34" s="4" t="s">
        <v>126</v>
      </c>
      <c r="B34" s="8"/>
      <c r="C34" s="8"/>
      <c r="D34" s="4" t="s">
        <v>127</v>
      </c>
      <c r="E34" s="4"/>
      <c r="F34" s="4"/>
      <c r="G34" s="4" t="s">
        <v>128</v>
      </c>
      <c r="H34" s="4">
        <v>3.5</v>
      </c>
      <c r="I34" s="4"/>
      <c r="J34" s="4">
        <v>3.47</v>
      </c>
      <c r="K34" s="4"/>
    </row>
    <row r="35" ht="28" customHeight="1" spans="1:11" x14ac:dyDescent="0.25">
      <c r="A35" s="5" t="s">
        <v>129</v>
      </c>
      <c r="B35" s="7"/>
      <c r="C35" s="7"/>
      <c r="D35" s="5"/>
      <c r="E35" s="5"/>
      <c r="F35" s="5"/>
      <c r="G35" s="5" t="s">
        <v>130</v>
      </c>
      <c r="H35" s="5">
        <v>3.5</v>
      </c>
      <c r="I35" s="5"/>
      <c r="J35" s="5"/>
      <c r="K35" s="5"/>
    </row>
    <row r="36" ht="28" customHeight="1" spans="1:11" x14ac:dyDescent="0.25">
      <c r="A36" s="4" t="s">
        <v>131</v>
      </c>
      <c r="B36" s="8"/>
      <c r="C36" s="8"/>
      <c r="D36" s="4" t="s">
        <v>132</v>
      </c>
      <c r="E36" s="4" t="s">
        <v>133</v>
      </c>
      <c r="F36" s="4"/>
      <c r="G36" s="4" t="s">
        <v>134</v>
      </c>
      <c r="H36" s="4">
        <v>3.5</v>
      </c>
      <c r="I36" s="4"/>
      <c r="J36" s="4">
        <v>3.47</v>
      </c>
      <c r="K36" s="4"/>
    </row>
    <row r="37" ht="28" customHeight="1" spans="1:11" x14ac:dyDescent="0.25">
      <c r="A37" s="5" t="s">
        <v>135</v>
      </c>
      <c r="B37" s="7"/>
      <c r="C37" s="7"/>
      <c r="D37" s="7"/>
      <c r="E37" s="5" t="s">
        <v>136</v>
      </c>
      <c r="F37" s="5"/>
      <c r="G37" s="5" t="s">
        <v>137</v>
      </c>
      <c r="H37" s="5">
        <v>3.5</v>
      </c>
      <c r="I37" s="5"/>
      <c r="J37" s="5">
        <v>3.47</v>
      </c>
      <c r="K37" s="5"/>
    </row>
    <row r="38" ht="28" customHeight="1" spans="1:11" x14ac:dyDescent="0.25">
      <c r="A38" s="4" t="s">
        <v>138</v>
      </c>
      <c r="B38" s="8"/>
      <c r="C38" s="8"/>
      <c r="D38" s="8"/>
      <c r="E38" s="4" t="s">
        <v>139</v>
      </c>
      <c r="F38" s="4" t="s">
        <v>140</v>
      </c>
      <c r="G38" s="4" t="s">
        <v>141</v>
      </c>
      <c r="H38" s="4">
        <v>3.8</v>
      </c>
      <c r="I38" s="4"/>
      <c r="J38" s="4">
        <v>3.77</v>
      </c>
      <c r="K38" s="4"/>
    </row>
    <row r="39" ht="28" customHeight="1" spans="1:11" x14ac:dyDescent="0.25">
      <c r="A39" s="5" t="s">
        <v>142</v>
      </c>
      <c r="B39" s="7"/>
      <c r="C39" s="7"/>
      <c r="D39" s="7"/>
      <c r="E39" s="5" t="s">
        <v>136</v>
      </c>
      <c r="F39" s="5"/>
      <c r="G39" s="5" t="s">
        <v>143</v>
      </c>
      <c r="H39" s="5">
        <v>3.5</v>
      </c>
      <c r="I39" s="5"/>
      <c r="J39" s="5">
        <v>3.47</v>
      </c>
      <c r="K39" s="5"/>
    </row>
    <row r="40" ht="28" customHeight="1" spans="1:11" x14ac:dyDescent="0.25">
      <c r="A40" s="4" t="s">
        <v>144</v>
      </c>
      <c r="B40" s="8"/>
      <c r="C40" s="8"/>
      <c r="D40" s="8"/>
      <c r="E40" s="4" t="s">
        <v>145</v>
      </c>
      <c r="F40" s="4" t="s">
        <v>140</v>
      </c>
      <c r="G40" s="4" t="s">
        <v>146</v>
      </c>
      <c r="H40" s="4">
        <v>3.2</v>
      </c>
      <c r="I40" s="4"/>
      <c r="J40" s="4"/>
      <c r="K40" s="4"/>
    </row>
    <row r="41" ht="28" customHeight="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28" customHeight="1" spans="1:11" x14ac:dyDescent="0.25">
      <c r="A42" s="4" t="s">
        <v>147</v>
      </c>
      <c r="B42" s="4" t="s">
        <v>16</v>
      </c>
      <c r="C42" s="4" t="s">
        <v>12</v>
      </c>
      <c r="D42" s="4" t="s">
        <v>22</v>
      </c>
      <c r="E42" s="4" t="s">
        <v>148</v>
      </c>
      <c r="F42" s="4" t="s">
        <v>149</v>
      </c>
      <c r="G42" s="4" t="s">
        <v>124</v>
      </c>
      <c r="H42" s="4" t="s">
        <v>150</v>
      </c>
      <c r="I42" s="4"/>
      <c r="J42" s="4">
        <v>1.98</v>
      </c>
      <c r="K42" s="4"/>
    </row>
    <row r="43" ht="28" customHeight="1" spans="1:11" x14ac:dyDescent="0.25">
      <c r="A43" s="5" t="s">
        <v>48</v>
      </c>
      <c r="B43" s="5" t="s">
        <v>49</v>
      </c>
      <c r="C43" s="5" t="s">
        <v>12</v>
      </c>
      <c r="D43" s="5" t="s">
        <v>50</v>
      </c>
      <c r="E43" s="5" t="s">
        <v>151</v>
      </c>
      <c r="F43" s="5" t="s">
        <v>152</v>
      </c>
      <c r="G43" s="5" t="s">
        <v>124</v>
      </c>
      <c r="H43" s="5" t="s">
        <v>153</v>
      </c>
      <c r="I43" s="5"/>
      <c r="J43" s="5">
        <v>2.33</v>
      </c>
      <c r="K43" s="5"/>
    </row>
    <row r="44" ht="28" customHeight="1" spans="1:11" x14ac:dyDescent="0.25">
      <c r="A44" s="4" t="s">
        <v>154</v>
      </c>
      <c r="B44" s="4" t="s">
        <v>155</v>
      </c>
      <c r="C44" s="4" t="s">
        <v>20</v>
      </c>
      <c r="D44" s="4" t="s">
        <v>156</v>
      </c>
      <c r="E44" s="4"/>
      <c r="F44" s="4"/>
      <c r="G44" s="4"/>
      <c r="H44" s="4"/>
      <c r="I44" s="4"/>
      <c r="J44" s="4"/>
      <c r="K44" s="4"/>
    </row>
    <row r="45" ht="26" customHeight="1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26" customHeight="1" spans="1:11" x14ac:dyDescent="0.25">
      <c r="A46" s="4" t="s">
        <v>157</v>
      </c>
      <c r="B46" s="4" t="s">
        <v>73</v>
      </c>
      <c r="C46" s="4" t="s">
        <v>20</v>
      </c>
      <c r="D46" s="4" t="s">
        <v>158</v>
      </c>
      <c r="E46" s="4" t="s">
        <v>159</v>
      </c>
      <c r="F46" s="4" t="s">
        <v>160</v>
      </c>
      <c r="G46" s="4" t="s">
        <v>161</v>
      </c>
      <c r="H46" s="4" t="s">
        <v>162</v>
      </c>
      <c r="I46" s="4"/>
      <c r="J46" s="4"/>
      <c r="K46" s="4"/>
    </row>
    <row r="47" ht="26" customHeight="1" spans="1:11" x14ac:dyDescent="0.25">
      <c r="A47" s="5" t="s">
        <v>157</v>
      </c>
      <c r="B47" s="5" t="s">
        <v>73</v>
      </c>
      <c r="C47" s="5" t="s">
        <v>163</v>
      </c>
      <c r="D47" s="5" t="s">
        <v>158</v>
      </c>
      <c r="E47" s="5" t="s">
        <v>164</v>
      </c>
      <c r="F47" s="5" t="s">
        <v>165</v>
      </c>
      <c r="G47" s="5" t="s">
        <v>93</v>
      </c>
      <c r="H47" s="5"/>
      <c r="I47" s="5"/>
      <c r="J47" s="5"/>
      <c r="K47" s="5"/>
    </row>
    <row r="48" ht="26" customHeight="1" spans="1:11" x14ac:dyDescent="0.25">
      <c r="A48" s="4" t="s">
        <v>166</v>
      </c>
      <c r="B48" s="4" t="s">
        <v>73</v>
      </c>
      <c r="C48" s="4" t="s">
        <v>20</v>
      </c>
      <c r="D48" s="4" t="s">
        <v>158</v>
      </c>
      <c r="E48" s="4"/>
      <c r="F48" s="4"/>
      <c r="G48" s="4"/>
      <c r="H48" s="4"/>
      <c r="I48" s="4"/>
      <c r="J48" s="4"/>
      <c r="K48" s="4"/>
    </row>
    <row r="49" ht="28" customHeight="1" spans="1:11" x14ac:dyDescent="0.25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ht="28" customHeight="1" spans="1:11" x14ac:dyDescent="0.25">
      <c r="A50" s="4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28" customHeight="1" spans="1:11" x14ac:dyDescent="0.25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ht="28" customHeight="1" spans="1:11" x14ac:dyDescent="0.25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28" customHeight="1" spans="1:11" x14ac:dyDescent="0.25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ht="28" customHeight="1" spans="1:11" x14ac:dyDescent="0.25">
      <c r="A54" s="4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28" customHeight="1" spans="1:11" x14ac:dyDescent="0.2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ht="28" customHeight="1" spans="1:11" x14ac:dyDescent="0.25">
      <c r="A56" s="4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28" customHeight="1" spans="1:11" x14ac:dyDescent="0.25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ht="28" customHeight="1" spans="1:11" x14ac:dyDescent="0.25">
      <c r="A58" s="4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28" customHeight="1" spans="1:11" x14ac:dyDescent="0.25">
      <c r="A59" s="5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ht="28" customHeight="1" spans="1:11" x14ac:dyDescent="0.25">
      <c r="A60" s="4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28" customHeight="1" spans="1:11" x14ac:dyDescent="0.25">
      <c r="A61" s="5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ht="28" customHeight="1" spans="1:11" x14ac:dyDescent="0.25">
      <c r="A62" s="4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7.25" customHeight="1" spans="1:11" x14ac:dyDescent="0.25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</row>
  </sheetData>
  <pageMargins left="0.432638888888889" right="0.314583333333333" top="0.118055555555556" bottom="0.354166666666667" header="0.314583333333333" footer="0.298611111111111"/>
  <pageSetup paperSize="9" orientation="landscape" horizontalDpi="600" verticalDpi="4294967295" scale="79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3"/>
  <sheetViews>
    <sheetView workbookViewId="0" showGridLines="0" zoomScale="90" zoomScaleNormal="90">
      <selection activeCell="L17" sqref="L17"/>
    </sheetView>
  </sheetViews>
  <sheetFormatPr defaultRowHeight="13.5" outlineLevelRow="0" outlineLevelCol="0" x14ac:dyDescent="0" defaultColWidth="9" customHeight="1"/>
  <cols>
    <col min="1" max="2" width="2.10833333333333" style="9" customWidth="1"/>
    <col min="3" max="3" width="21.3916666666667" style="10" customWidth="1"/>
    <col min="4" max="4" width="27.0833333333333" style="11" customWidth="1"/>
    <col min="5" max="5" width="33.7416666666667" style="12" customWidth="1"/>
    <col min="6" max="6" width="1.10833333333333" style="9" customWidth="1"/>
    <col min="7" max="7" width="1.775" style="9" customWidth="1"/>
    <col min="8" max="8" width="0.558333333333333" style="9" customWidth="1"/>
    <col min="9" max="9" width="2.10833333333333" style="9" customWidth="1"/>
    <col min="10" max="10" width="21.6583333333333" style="13" customWidth="1"/>
    <col min="11" max="11" width="27.9166666666667" style="9" customWidth="1"/>
    <col min="12" max="12" width="12.1083333333333" style="9" customWidth="1"/>
    <col min="13" max="13" width="12.6416666666667" style="9" customWidth="1"/>
    <col min="14" max="14" width="21.25" style="9" customWidth="1"/>
    <col min="15" max="15" width="2.5" style="9" customWidth="1"/>
    <col min="16" max="16" width="1.65833333333333" style="9" customWidth="1"/>
    <col min="17" max="17" width="2.10833333333333" style="9" hidden="1" customWidth="1"/>
    <col min="18" max="18" width="29.025" style="14" customWidth="1"/>
    <col min="19" max="19" width="11.1083333333333" style="9" customWidth="1"/>
    <col min="20" max="20" width="11.8833333333333" style="9" customWidth="1"/>
    <col min="21" max="21" width="11.3333333333333" style="9" customWidth="1"/>
    <col min="22" max="22" width="10.8833333333333" style="9" customWidth="1"/>
    <col min="23" max="24" width="11.2166666666667" style="9" customWidth="1"/>
    <col min="25" max="26" width="2.10833333333333" style="9" customWidth="1"/>
    <col min="27" max="16384" width="9" style="9" customWidth="1"/>
  </cols>
  <sheetData>
    <row r="1" ht="9" customHeight="1" spans="2:25" s="15" customFormat="1" x14ac:dyDescent="0.25">
      <c r="B1" s="16"/>
      <c r="C1" s="17"/>
      <c r="D1" s="18"/>
      <c r="E1" s="19"/>
      <c r="F1" s="16"/>
      <c r="G1" s="15"/>
      <c r="H1" s="20"/>
      <c r="I1" s="16"/>
      <c r="J1" s="21"/>
      <c r="K1" s="16"/>
      <c r="L1" s="16"/>
      <c r="M1" s="16"/>
      <c r="N1" s="16"/>
      <c r="O1" s="20"/>
      <c r="P1" s="20"/>
      <c r="Q1" s="16"/>
      <c r="R1" s="22"/>
      <c r="S1" s="16"/>
      <c r="T1" s="16"/>
      <c r="U1" s="16"/>
      <c r="V1" s="16"/>
      <c r="W1" s="16"/>
      <c r="X1" s="16"/>
      <c r="Y1" s="16"/>
    </row>
    <row r="2" ht="19.05" customHeight="1" spans="2:25" s="15" customFormat="1" x14ac:dyDescent="0.25">
      <c r="B2" s="16"/>
      <c r="C2" s="23" t="s">
        <v>167</v>
      </c>
      <c r="D2" s="24"/>
      <c r="E2" s="25"/>
      <c r="F2" s="16"/>
      <c r="G2" s="15"/>
      <c r="H2" s="20"/>
      <c r="I2" s="16"/>
      <c r="J2" s="23" t="s">
        <v>168</v>
      </c>
      <c r="K2" s="25"/>
      <c r="L2" s="25"/>
      <c r="M2" s="16"/>
      <c r="N2" s="16"/>
      <c r="O2" s="20"/>
      <c r="P2" s="20"/>
      <c r="Q2" s="16"/>
      <c r="R2" s="23" t="s">
        <v>169</v>
      </c>
      <c r="S2" s="25"/>
      <c r="T2" s="25"/>
      <c r="U2" s="23"/>
      <c r="V2" s="25"/>
      <c r="W2" s="25"/>
      <c r="X2" s="25"/>
      <c r="Y2" s="16"/>
    </row>
    <row r="3" ht="13.95" customHeight="1" spans="2:25" s="15" customFormat="1" x14ac:dyDescent="0.25">
      <c r="B3" s="16"/>
      <c r="C3" s="26"/>
      <c r="D3" s="24"/>
      <c r="E3" s="25"/>
      <c r="F3" s="16"/>
      <c r="G3" s="15"/>
      <c r="H3" s="20"/>
      <c r="I3" s="16"/>
      <c r="J3" s="26"/>
      <c r="K3" s="25"/>
      <c r="L3" s="25"/>
      <c r="M3" s="16"/>
      <c r="N3" s="16"/>
      <c r="O3" s="20"/>
      <c r="P3" s="20"/>
      <c r="Q3" s="16"/>
      <c r="R3" s="26"/>
      <c r="S3" s="25"/>
      <c r="T3" s="25"/>
      <c r="U3" s="26"/>
      <c r="V3" s="25"/>
      <c r="W3" s="25"/>
      <c r="X3" s="25"/>
      <c r="Y3" s="16"/>
    </row>
    <row r="4" ht="24" customHeight="1" spans="2:25" s="27" customFormat="1" x14ac:dyDescent="0.25">
      <c r="B4" s="28"/>
      <c r="C4" s="29" t="s">
        <v>170</v>
      </c>
      <c r="D4" s="30" t="s">
        <v>171</v>
      </c>
      <c r="E4" s="31" t="s">
        <v>172</v>
      </c>
      <c r="F4" s="27"/>
      <c r="G4" s="27"/>
      <c r="H4" s="32"/>
      <c r="I4" s="28"/>
      <c r="J4" s="33" t="s">
        <v>173</v>
      </c>
      <c r="K4" s="34" t="s">
        <v>171</v>
      </c>
      <c r="L4" s="35" t="s">
        <v>174</v>
      </c>
      <c r="M4" s="35" t="s">
        <v>175</v>
      </c>
      <c r="N4" s="35" t="s">
        <v>10</v>
      </c>
      <c r="O4" s="32"/>
      <c r="P4" s="32"/>
      <c r="Q4" s="28"/>
      <c r="R4" s="36" t="s">
        <v>171</v>
      </c>
      <c r="S4" s="37" t="s">
        <v>176</v>
      </c>
      <c r="T4" s="37" t="s">
        <v>174</v>
      </c>
      <c r="U4" s="37" t="s">
        <v>177</v>
      </c>
      <c r="V4" s="37" t="s">
        <v>178</v>
      </c>
      <c r="W4" s="38" t="s">
        <v>179</v>
      </c>
      <c r="X4" s="38" t="s">
        <v>10</v>
      </c>
      <c r="Y4" s="28"/>
    </row>
    <row r="5" ht="19.95" customHeight="1" spans="2:25" x14ac:dyDescent="0.25">
      <c r="B5" s="39"/>
      <c r="C5" s="40">
        <v>12</v>
      </c>
      <c r="D5" s="41" t="s">
        <v>180</v>
      </c>
      <c r="E5" s="42">
        <v>6</v>
      </c>
      <c r="F5" s="43"/>
      <c r="G5" s="44"/>
      <c r="H5" s="45"/>
      <c r="I5" s="43"/>
      <c r="J5" s="40"/>
      <c r="K5" s="46" t="s">
        <v>181</v>
      </c>
      <c r="L5" s="42">
        <v>100</v>
      </c>
      <c r="M5" s="47"/>
      <c r="N5" s="42"/>
      <c r="O5" s="45"/>
      <c r="P5" s="45"/>
      <c r="Q5" s="43"/>
      <c r="R5" s="48" t="s">
        <v>182</v>
      </c>
      <c r="S5" s="42">
        <f>IF(R5="","",SUMIFS($E$5:$E$19984,$D$5:$D$19984,R5))</f>
        <v>0</v>
      </c>
      <c r="T5" s="42">
        <f>IF(R5="","",SUMIFS($L$5:$L$19984,$K$5:$K$19984,R5))</f>
        <v>0</v>
      </c>
      <c r="U5" s="42">
        <f t="shared" ref="U5:U16" si="0">IF(R5="","",S5-T5)</f>
        <v>0</v>
      </c>
      <c r="V5" s="42"/>
      <c r="W5" s="42" t="str">
        <f t="shared" ref="W5:W16" si="1">IF(R5="","",IF(U5&lt;=V5,"需补仓","安全"))</f>
        <v>需补仓</v>
      </c>
      <c r="X5" s="42"/>
      <c r="Y5" s="39"/>
    </row>
    <row r="6" ht="19.95" customHeight="1" spans="2:25" x14ac:dyDescent="0.25">
      <c r="B6" s="39"/>
      <c r="C6" s="40">
        <v>46183.5</v>
      </c>
      <c r="D6" s="41" t="s">
        <v>180</v>
      </c>
      <c r="E6" s="42">
        <v>20</v>
      </c>
      <c r="F6" s="43"/>
      <c r="G6" s="44"/>
      <c r="H6" s="45"/>
      <c r="I6" s="43"/>
      <c r="J6" s="40"/>
      <c r="K6" s="46" t="s">
        <v>183</v>
      </c>
      <c r="L6" s="42">
        <v>200</v>
      </c>
      <c r="M6" s="42"/>
      <c r="N6" s="42"/>
      <c r="O6" s="45"/>
      <c r="P6" s="45"/>
      <c r="Q6" s="43"/>
      <c r="R6" s="48" t="s">
        <v>184</v>
      </c>
      <c r="S6" s="42">
        <f>IF(R6="","",SUMIFS($E$5:$E$19984,$D$5:$D$19984,R6))</f>
        <v>0</v>
      </c>
      <c r="T6" s="42">
        <f>IF(R6="","",SUMIFS($L$5:$L$19984,$K$5:$K$19984,R6))</f>
        <v>0</v>
      </c>
      <c r="U6" s="42">
        <f t="shared" si="0"/>
        <v>0</v>
      </c>
      <c r="V6" s="42"/>
      <c r="W6" s="42" t="str">
        <f t="shared" si="1"/>
        <v>需补仓</v>
      </c>
      <c r="X6" s="42"/>
      <c r="Y6" s="39"/>
    </row>
    <row r="7" ht="19.95" customHeight="1" spans="2:25" x14ac:dyDescent="0.25">
      <c r="B7" s="39"/>
      <c r="C7" s="40">
        <v>46185.55625</v>
      </c>
      <c r="D7" s="41" t="s">
        <v>185</v>
      </c>
      <c r="E7" s="42">
        <v>8</v>
      </c>
      <c r="F7" s="43"/>
      <c r="G7" s="44"/>
      <c r="H7" s="45"/>
      <c r="I7" s="43"/>
      <c r="J7" s="40"/>
      <c r="K7" s="46" t="s">
        <v>186</v>
      </c>
      <c r="L7" s="42">
        <v>90</v>
      </c>
      <c r="M7" s="42"/>
      <c r="N7" s="42"/>
      <c r="O7" s="45"/>
      <c r="P7" s="45"/>
      <c r="Q7" s="43"/>
      <c r="R7" s="48" t="s">
        <v>187</v>
      </c>
      <c r="S7" s="42">
        <f>IF(R7="","",SUMIFS($E$5:$E$19984,$D$5:$D$19984,R7))</f>
        <v>0</v>
      </c>
      <c r="T7" s="42">
        <f>IF(R7="","",SUMIFS($L$5:$L$19984,$K$5:$K$19984,R7))</f>
        <v>0</v>
      </c>
      <c r="U7" s="42">
        <f t="shared" si="0"/>
        <v>0</v>
      </c>
      <c r="V7" s="42"/>
      <c r="W7" s="42" t="str">
        <f t="shared" si="1"/>
        <v>需补仓</v>
      </c>
      <c r="X7" s="42"/>
      <c r="Y7" s="39"/>
    </row>
    <row r="8" ht="19.95" customHeight="1" spans="2:25" x14ac:dyDescent="0.25">
      <c r="B8" s="39"/>
      <c r="C8" s="40"/>
      <c r="D8" s="41" t="s">
        <v>185</v>
      </c>
      <c r="E8" s="42">
        <v>11</v>
      </c>
      <c r="F8" s="43"/>
      <c r="G8" s="44"/>
      <c r="H8" s="45"/>
      <c r="I8" s="43"/>
      <c r="J8" s="40"/>
      <c r="K8" s="42" t="s">
        <v>181</v>
      </c>
      <c r="L8" s="42">
        <v>1</v>
      </c>
      <c r="M8" s="42"/>
      <c r="N8" s="42"/>
      <c r="O8" s="45"/>
      <c r="P8" s="45"/>
      <c r="Q8" s="43"/>
      <c r="R8" s="48" t="s">
        <v>188</v>
      </c>
      <c r="S8" s="42">
        <f>IF(R8="","",SUMIFS($E$5:$E$19984,$D$5:$D$19984,R8))</f>
        <v>0</v>
      </c>
      <c r="T8" s="42">
        <f>IF(R8="","",SUMIFS($L$5:$L$19984,$K$5:$K$19984,R8))</f>
        <v>0</v>
      </c>
      <c r="U8" s="42">
        <f t="shared" si="0"/>
        <v>0</v>
      </c>
      <c r="V8" s="42"/>
      <c r="W8" s="42" t="str">
        <f t="shared" si="1"/>
        <v>需补仓</v>
      </c>
      <c r="X8" s="42"/>
      <c r="Y8" s="39"/>
    </row>
    <row r="9" ht="19.95" customHeight="1" spans="2:25" x14ac:dyDescent="0.25">
      <c r="B9" s="39"/>
      <c r="C9" s="40"/>
      <c r="D9" s="41" t="s">
        <v>183</v>
      </c>
      <c r="E9" s="42">
        <v>4</v>
      </c>
      <c r="F9" s="43"/>
      <c r="G9" s="44"/>
      <c r="H9" s="45"/>
      <c r="I9" s="43"/>
      <c r="J9" s="40"/>
      <c r="K9" s="42" t="s">
        <v>189</v>
      </c>
      <c r="L9" s="42"/>
      <c r="M9" s="42"/>
      <c r="N9" s="42"/>
      <c r="O9" s="45"/>
      <c r="P9" s="45"/>
      <c r="Q9" s="43"/>
      <c r="R9" s="48" t="s">
        <v>190</v>
      </c>
      <c r="S9" s="42">
        <f>IF(R9="","",SUMIFS($E$5:$E$19984,$D$5:$D$19984,R9))</f>
        <v>0</v>
      </c>
      <c r="T9" s="42">
        <f>IF(R9="","",SUMIFS($L$5:$L$19984,$K$5:$K$19984,R9))</f>
        <v>0</v>
      </c>
      <c r="U9" s="42">
        <f t="shared" si="0"/>
        <v>0</v>
      </c>
      <c r="V9" s="42"/>
      <c r="W9" s="42" t="str">
        <f t="shared" si="1"/>
        <v>需补仓</v>
      </c>
      <c r="X9" s="42"/>
      <c r="Y9" s="39"/>
    </row>
    <row r="10" ht="19.95" customHeight="1" spans="2:25" x14ac:dyDescent="0.25">
      <c r="B10" s="39"/>
      <c r="C10" s="40"/>
      <c r="D10" s="41" t="s">
        <v>191</v>
      </c>
      <c r="E10" s="42">
        <v>21</v>
      </c>
      <c r="F10" s="43"/>
      <c r="G10" s="44"/>
      <c r="H10" s="45"/>
      <c r="I10" s="43"/>
      <c r="J10" s="40"/>
      <c r="K10" s="42" t="s">
        <v>188</v>
      </c>
      <c r="L10" s="42"/>
      <c r="M10" s="42"/>
      <c r="N10" s="42"/>
      <c r="O10" s="45"/>
      <c r="P10" s="45"/>
      <c r="Q10" s="43"/>
      <c r="R10" s="48" t="s">
        <v>192</v>
      </c>
      <c r="S10" s="42">
        <f>IF(R10="","",SUMIFS($E$5:$E$19984,$D$5:$D$19984,R10))</f>
        <v>0</v>
      </c>
      <c r="T10" s="42">
        <f>IF(R10="","",SUMIFS($L$5:$L$19984,$K$5:$K$19984,R10))</f>
        <v>0</v>
      </c>
      <c r="U10" s="42">
        <f t="shared" si="0"/>
        <v>0</v>
      </c>
      <c r="V10" s="42"/>
      <c r="W10" s="42" t="str">
        <f t="shared" si="1"/>
        <v>需补仓</v>
      </c>
      <c r="X10" s="42"/>
      <c r="Y10" s="39"/>
    </row>
    <row r="11" ht="19.95" customHeight="1" spans="2:25" x14ac:dyDescent="0.25">
      <c r="B11" s="39"/>
      <c r="C11" s="40"/>
      <c r="D11" s="41"/>
      <c r="E11" s="42"/>
      <c r="F11" s="43"/>
      <c r="G11" s="44"/>
      <c r="H11" s="45"/>
      <c r="I11" s="43"/>
      <c r="J11" s="40"/>
      <c r="K11" s="46" t="s">
        <v>193</v>
      </c>
      <c r="L11" s="42">
        <v>100</v>
      </c>
      <c r="M11" s="42"/>
      <c r="N11" s="42"/>
      <c r="O11" s="45"/>
      <c r="P11" s="45"/>
      <c r="Q11" s="43"/>
      <c r="R11" s="48" t="s">
        <v>194</v>
      </c>
      <c r="S11" s="42">
        <f>IF(R11="","",SUMIFS($E$5:$E$19984,$D$5:$D$19984,R11))</f>
        <v>0</v>
      </c>
      <c r="T11" s="42">
        <f>IF(R11="","",SUMIFS($L$5:$L$19984,$K$5:$K$19984,R11))</f>
        <v>0</v>
      </c>
      <c r="U11" s="42">
        <f t="shared" si="0"/>
        <v>0</v>
      </c>
      <c r="V11" s="42"/>
      <c r="W11" s="42" t="str">
        <f t="shared" si="1"/>
        <v>需补仓</v>
      </c>
      <c r="X11" s="42"/>
      <c r="Y11" s="39"/>
    </row>
    <row r="12" ht="19.95" customHeight="1" spans="2:25" x14ac:dyDescent="0.25">
      <c r="B12" s="39"/>
      <c r="C12" s="40"/>
      <c r="D12" s="41"/>
      <c r="E12" s="42"/>
      <c r="F12" s="43"/>
      <c r="G12" s="44"/>
      <c r="H12" s="45"/>
      <c r="I12" s="43"/>
      <c r="J12" s="40"/>
      <c r="K12" s="46"/>
      <c r="L12" s="42"/>
      <c r="M12" s="42"/>
      <c r="N12" s="42"/>
      <c r="O12" s="45"/>
      <c r="P12" s="45"/>
      <c r="Q12" s="43"/>
      <c r="R12" s="48" t="s">
        <v>195</v>
      </c>
      <c r="S12" s="42">
        <f>IF(R12="","",SUMIFS($E$5:$E$19984,$D$5:$D$19984,R12))</f>
        <v>0</v>
      </c>
      <c r="T12" s="42">
        <f>IF(R12="","",SUMIFS($L$5:$L$19984,$K$5:$K$19984,R12))</f>
        <v>0</v>
      </c>
      <c r="U12" s="42">
        <f t="shared" si="0"/>
        <v>0</v>
      </c>
      <c r="V12" s="42"/>
      <c r="W12" s="42" t="str">
        <f t="shared" si="1"/>
        <v>需补仓</v>
      </c>
      <c r="X12" s="42"/>
      <c r="Y12" s="39"/>
    </row>
    <row r="13" ht="19.95" customHeight="1" spans="2:25" x14ac:dyDescent="0.25">
      <c r="B13" s="39"/>
      <c r="C13" s="40"/>
      <c r="D13" s="41"/>
      <c r="E13" s="42"/>
      <c r="F13" s="43"/>
      <c r="G13" s="44"/>
      <c r="H13" s="45"/>
      <c r="I13" s="43"/>
      <c r="J13" s="40"/>
      <c r="K13" s="46"/>
      <c r="L13" s="42"/>
      <c r="M13" s="42"/>
      <c r="N13" s="42"/>
      <c r="O13" s="45"/>
      <c r="P13" s="45"/>
      <c r="Q13" s="43"/>
      <c r="R13" s="48" t="s">
        <v>186</v>
      </c>
      <c r="S13" s="42">
        <f>IF(R13="","",SUMIFS($E$5:$E$19984,$D$5:$D$19984,R13))</f>
        <v>0</v>
      </c>
      <c r="T13" s="42">
        <f>IF(R13="","",SUMIFS($L$5:$L$19984,$K$5:$K$19984,R13))</f>
        <v>90</v>
      </c>
      <c r="U13" s="42">
        <f t="shared" si="0"/>
        <v>-90</v>
      </c>
      <c r="V13" s="42">
        <v>0</v>
      </c>
      <c r="W13" s="42" t="str">
        <f t="shared" si="1"/>
        <v>需补仓</v>
      </c>
      <c r="X13" s="42"/>
      <c r="Y13" s="39"/>
    </row>
    <row r="14" ht="19.95" customHeight="1" spans="2:25" x14ac:dyDescent="0.25">
      <c r="B14" s="39"/>
      <c r="C14" s="40"/>
      <c r="D14" s="41"/>
      <c r="E14" s="42"/>
      <c r="F14" s="43"/>
      <c r="G14" s="44"/>
      <c r="H14" s="45"/>
      <c r="I14" s="43"/>
      <c r="J14" s="40"/>
      <c r="K14" s="42"/>
      <c r="L14" s="42"/>
      <c r="M14" s="42"/>
      <c r="N14" s="42"/>
      <c r="O14" s="45"/>
      <c r="P14" s="45"/>
      <c r="Q14" s="43"/>
      <c r="R14" s="48" t="s">
        <v>193</v>
      </c>
      <c r="S14" s="42">
        <f>IF(R14="","",SUMIFS($E$5:$E$19984,$D$5:$D$19984,R14))</f>
        <v>0</v>
      </c>
      <c r="T14" s="42">
        <f>IF(R14="","",SUMIFS($L$5:$L$19984,$K$5:$K$19984,R14))</f>
        <v>100</v>
      </c>
      <c r="U14" s="42">
        <f t="shared" si="0"/>
        <v>-100</v>
      </c>
      <c r="V14" s="42">
        <v>10</v>
      </c>
      <c r="W14" s="42" t="str">
        <f t="shared" si="1"/>
        <v>需补仓</v>
      </c>
      <c r="X14" s="42"/>
      <c r="Y14" s="39"/>
    </row>
    <row r="15" ht="19.95" customHeight="1" spans="2:25" x14ac:dyDescent="0.25">
      <c r="B15" s="39"/>
      <c r="C15" s="40"/>
      <c r="D15" s="41"/>
      <c r="E15" s="42"/>
      <c r="F15" s="43"/>
      <c r="G15" s="44"/>
      <c r="H15" s="45"/>
      <c r="I15" s="43"/>
      <c r="J15" s="40"/>
      <c r="K15" s="42"/>
      <c r="L15" s="42"/>
      <c r="M15" s="42"/>
      <c r="N15" s="42"/>
      <c r="O15" s="45"/>
      <c r="P15" s="45"/>
      <c r="Q15" s="43"/>
      <c r="R15" s="48" t="s">
        <v>180</v>
      </c>
      <c r="S15" s="42">
        <f>IF(R15="","",SUMIFS($E$5:$E$19984,$D$5:$D$19984,R15))</f>
        <v>26</v>
      </c>
      <c r="T15" s="42">
        <f>IF(R15="","",SUMIFS($L$5:$L$19984,$K$5:$K$19984,R15))</f>
        <v>0</v>
      </c>
      <c r="U15" s="42">
        <f t="shared" si="0"/>
        <v>26</v>
      </c>
      <c r="V15" s="42">
        <v>10</v>
      </c>
      <c r="W15" s="42" t="str">
        <f t="shared" si="1"/>
        <v>安全</v>
      </c>
      <c r="X15" s="42"/>
      <c r="Y15" s="39"/>
    </row>
    <row r="16" ht="19.95" customHeight="1" spans="2:25" x14ac:dyDescent="0.25">
      <c r="B16" s="39"/>
      <c r="C16" s="40"/>
      <c r="D16" s="41"/>
      <c r="E16" s="42"/>
      <c r="F16" s="43"/>
      <c r="G16" s="44"/>
      <c r="H16" s="45"/>
      <c r="I16" s="43"/>
      <c r="J16" s="40"/>
      <c r="K16" s="42"/>
      <c r="L16" s="42"/>
      <c r="M16" s="42"/>
      <c r="N16" s="42"/>
      <c r="O16" s="45"/>
      <c r="P16" s="45"/>
      <c r="Q16" s="43"/>
      <c r="R16" s="48" t="s">
        <v>181</v>
      </c>
      <c r="S16" s="42">
        <f>IF(R16="","",SUMIFS($E$5:$E$19984,$D$5:$D$19984,R16))</f>
        <v>0</v>
      </c>
      <c r="T16" s="42">
        <f>IF(R16="","",SUMIFS($L$5:$L$19984,$K$5:$K$19984,R16))</f>
        <v>101</v>
      </c>
      <c r="U16" s="42">
        <f t="shared" si="0"/>
        <v>-101</v>
      </c>
      <c r="V16" s="42">
        <v>10</v>
      </c>
      <c r="W16" s="42" t="str">
        <f t="shared" si="1"/>
        <v>需补仓</v>
      </c>
      <c r="X16" s="42"/>
      <c r="Y16" s="39"/>
    </row>
    <row r="17" ht="19.95" customHeight="1" spans="2:25" x14ac:dyDescent="0.25">
      <c r="B17" s="39"/>
      <c r="C17" s="40"/>
      <c r="D17" s="41"/>
      <c r="E17" s="42"/>
      <c r="F17" s="43"/>
      <c r="G17" s="44"/>
      <c r="H17" s="45"/>
      <c r="I17" s="43"/>
      <c r="J17" s="40"/>
      <c r="K17" s="42"/>
      <c r="L17" s="42"/>
      <c r="M17" s="42"/>
      <c r="N17" s="42"/>
      <c r="O17" s="45"/>
      <c r="P17" s="45"/>
      <c r="Q17" s="43"/>
      <c r="R17" s="48" t="s">
        <v>196</v>
      </c>
      <c r="S17" s="42">
        <f>IF(R17="","",SUMIFS($E$5:$E$19984,$D$5:$D$19984,R17))</f>
        <v>0</v>
      </c>
      <c r="T17" s="42">
        <f>IF(R17="","",SUMIFS($L$5:$L$19984,$K$5:$K$19984,R17))</f>
        <v>0</v>
      </c>
      <c r="U17" s="42">
        <f t="shared" ref="U5:U68" si="2">IF(R17="","",S17-T17)</f>
        <v>0</v>
      </c>
      <c r="V17" s="42"/>
      <c r="W17" s="42" t="str">
        <f t="shared" ref="W5:W68" si="3">IF(R17="","",IF(U17&lt;=V17,"需补仓","安全"))</f>
        <v>需补仓</v>
      </c>
      <c r="X17" s="42"/>
      <c r="Y17" s="39"/>
    </row>
    <row r="18" ht="19.95" customHeight="1" spans="2:25" x14ac:dyDescent="0.25">
      <c r="B18" s="39"/>
      <c r="C18" s="40"/>
      <c r="D18" s="41"/>
      <c r="E18" s="42"/>
      <c r="F18" s="43"/>
      <c r="G18" s="44"/>
      <c r="H18" s="45"/>
      <c r="I18" s="43"/>
      <c r="J18" s="40"/>
      <c r="K18" s="42"/>
      <c r="L18" s="42"/>
      <c r="M18" s="42"/>
      <c r="N18" s="42"/>
      <c r="O18" s="45"/>
      <c r="P18" s="45"/>
      <c r="Q18" s="43"/>
      <c r="R18" s="48" t="s">
        <v>189</v>
      </c>
      <c r="S18" s="42">
        <f>IF(R18="","",SUMIFS($E$5:$E$19984,$D$5:$D$19984,R18))</f>
        <v>0</v>
      </c>
      <c r="T18" s="42">
        <f>IF(R18="","",SUMIFS($L$5:$L$19984,$K$5:$K$19984,R18))</f>
        <v>0</v>
      </c>
      <c r="U18" s="42">
        <f t="shared" si="2"/>
        <v>0</v>
      </c>
      <c r="V18" s="42"/>
      <c r="W18" s="42" t="str">
        <f t="shared" si="3"/>
        <v>需补仓</v>
      </c>
      <c r="X18" s="42"/>
      <c r="Y18" s="39"/>
    </row>
    <row r="19" ht="19.95" customHeight="1" spans="2:25" x14ac:dyDescent="0.25">
      <c r="B19" s="39"/>
      <c r="C19" s="40"/>
      <c r="D19" s="41"/>
      <c r="E19" s="42"/>
      <c r="F19" s="43"/>
      <c r="G19" s="44"/>
      <c r="H19" s="45"/>
      <c r="I19" s="43"/>
      <c r="J19" s="40"/>
      <c r="K19" s="42"/>
      <c r="L19" s="42"/>
      <c r="M19" s="42"/>
      <c r="N19" s="42"/>
      <c r="O19" s="45"/>
      <c r="P19" s="45"/>
      <c r="Q19" s="43"/>
      <c r="R19" s="48" t="s">
        <v>191</v>
      </c>
      <c r="S19" s="42">
        <f>IF(R19="","",SUMIFS($E$5:$E$19984,$D$5:$D$19984,R19))</f>
        <v>21</v>
      </c>
      <c r="T19" s="42">
        <f>IF(R19="","",SUMIFS($L$5:$L$19984,$K$5:$K$19984,R19))</f>
        <v>0</v>
      </c>
      <c r="U19" s="42">
        <f t="shared" si="2"/>
        <v>21</v>
      </c>
      <c r="V19" s="42"/>
      <c r="W19" s="42" t="str">
        <f t="shared" si="3"/>
        <v>安全</v>
      </c>
      <c r="X19" s="42"/>
      <c r="Y19" s="39"/>
    </row>
    <row r="20" ht="19.95" customHeight="1" spans="2:25" x14ac:dyDescent="0.25">
      <c r="B20" s="39"/>
      <c r="C20" s="40"/>
      <c r="D20" s="41"/>
      <c r="E20" s="42"/>
      <c r="F20" s="43"/>
      <c r="G20" s="44"/>
      <c r="H20" s="45"/>
      <c r="I20" s="43"/>
      <c r="J20" s="40"/>
      <c r="K20" s="42"/>
      <c r="L20" s="42"/>
      <c r="M20" s="42"/>
      <c r="N20" s="42"/>
      <c r="O20" s="45"/>
      <c r="P20" s="45"/>
      <c r="Q20" s="43"/>
      <c r="R20" s="48" t="s">
        <v>197</v>
      </c>
      <c r="S20" s="42">
        <f>IF(R20="","",SUMIFS($E$5:$E$19984,$D$5:$D$19984,R20))</f>
        <v>0</v>
      </c>
      <c r="T20" s="42">
        <f>IF(R20="","",SUMIFS($L$5:$L$19984,$K$5:$K$19984,R20))</f>
        <v>0</v>
      </c>
      <c r="U20" s="42">
        <f t="shared" si="2"/>
        <v>0</v>
      </c>
      <c r="V20" s="42"/>
      <c r="W20" s="42" t="str">
        <f t="shared" si="3"/>
        <v>需补仓</v>
      </c>
      <c r="X20" s="42"/>
      <c r="Y20" s="39"/>
    </row>
    <row r="21" ht="19.95" customHeight="1" spans="2:25" x14ac:dyDescent="0.25">
      <c r="B21" s="39"/>
      <c r="C21" s="40"/>
      <c r="D21" s="41"/>
      <c r="E21" s="42"/>
      <c r="F21" s="43"/>
      <c r="G21" s="44"/>
      <c r="H21" s="45"/>
      <c r="I21" s="43"/>
      <c r="J21" s="40"/>
      <c r="K21" s="42"/>
      <c r="L21" s="42"/>
      <c r="M21" s="42"/>
      <c r="N21" s="42"/>
      <c r="O21" s="45"/>
      <c r="P21" s="45"/>
      <c r="Q21" s="43"/>
      <c r="R21" s="48" t="s">
        <v>198</v>
      </c>
      <c r="S21" s="42">
        <f>IF(R21="","",SUMIFS($E$5:$E$19984,$D$5:$D$19984,R21))</f>
        <v>0</v>
      </c>
      <c r="T21" s="42">
        <f>IF(R21="","",SUMIFS($L$5:$L$19984,$K$5:$K$19984,R21))</f>
        <v>0</v>
      </c>
      <c r="U21" s="42">
        <f t="shared" si="2"/>
        <v>0</v>
      </c>
      <c r="V21" s="42"/>
      <c r="W21" s="42" t="str">
        <f t="shared" si="3"/>
        <v>需补仓</v>
      </c>
      <c r="X21" s="42"/>
      <c r="Y21" s="39"/>
    </row>
    <row r="22" ht="19.95" customHeight="1" spans="2:25" x14ac:dyDescent="0.25">
      <c r="B22" s="39"/>
      <c r="C22" s="40"/>
      <c r="D22" s="41"/>
      <c r="E22" s="42"/>
      <c r="F22" s="43"/>
      <c r="G22" s="44"/>
      <c r="H22" s="45"/>
      <c r="I22" s="43"/>
      <c r="J22" s="40"/>
      <c r="K22" s="42"/>
      <c r="L22" s="42"/>
      <c r="M22" s="42"/>
      <c r="N22" s="42"/>
      <c r="O22" s="45"/>
      <c r="P22" s="45"/>
      <c r="Q22" s="43"/>
      <c r="R22" s="48" t="s">
        <v>199</v>
      </c>
      <c r="S22" s="42">
        <f>IF(R22="","",SUMIFS($E$5:$E$19984,$D$5:$D$19984,R22))</f>
        <v>0</v>
      </c>
      <c r="T22" s="42">
        <f>IF(R22="","",SUMIFS($L$5:$L$19984,$K$5:$K$19984,R22))</f>
        <v>0</v>
      </c>
      <c r="U22" s="42">
        <f t="shared" si="2"/>
        <v>0</v>
      </c>
      <c r="V22" s="42"/>
      <c r="W22" s="42" t="str">
        <f t="shared" si="3"/>
        <v>需补仓</v>
      </c>
      <c r="X22" s="42"/>
      <c r="Y22" s="39"/>
    </row>
    <row r="23" ht="19.95" customHeight="1" spans="2:25" x14ac:dyDescent="0.25">
      <c r="B23" s="39"/>
      <c r="C23" s="40"/>
      <c r="D23" s="41"/>
      <c r="E23" s="42"/>
      <c r="F23" s="43"/>
      <c r="G23" s="44"/>
      <c r="H23" s="45"/>
      <c r="I23" s="43"/>
      <c r="J23" s="40"/>
      <c r="K23" s="42"/>
      <c r="L23" s="42"/>
      <c r="M23" s="42"/>
      <c r="N23" s="42"/>
      <c r="O23" s="45"/>
      <c r="P23" s="45"/>
      <c r="Q23" s="43"/>
      <c r="R23" s="48"/>
      <c r="S23" s="42">
        <f>IF(R23="","",SUMIFS($E$5:$E$19984,$D$5:$D$19984,R23))</f>
      </c>
      <c r="T23" s="42">
        <f>IF(R23="","",SUMIFS($L$5:$L$19984,$K$5:$K$19984,R23))</f>
      </c>
      <c r="U23" s="42">
        <f t="shared" si="2"/>
      </c>
      <c r="V23" s="42"/>
      <c r="W23" s="42">
        <f t="shared" si="3"/>
      </c>
      <c r="X23" s="42"/>
      <c r="Y23" s="39"/>
    </row>
    <row r="24" ht="19.95" customHeight="1" spans="2:25" x14ac:dyDescent="0.25">
      <c r="B24" s="39"/>
      <c r="C24" s="40"/>
      <c r="D24" s="41"/>
      <c r="E24" s="42"/>
      <c r="F24" s="43"/>
      <c r="G24" s="44"/>
      <c r="H24" s="45"/>
      <c r="I24" s="43"/>
      <c r="J24" s="40"/>
      <c r="K24" s="42"/>
      <c r="L24" s="42"/>
      <c r="M24" s="42"/>
      <c r="N24" s="42"/>
      <c r="O24" s="45"/>
      <c r="P24" s="45"/>
      <c r="Q24" s="43"/>
      <c r="R24" s="48"/>
      <c r="S24" s="42">
        <f>IF(R24="","",SUMIFS($E$5:$E$19984,$D$5:$D$19984,R24))</f>
      </c>
      <c r="T24" s="42">
        <f>IF(R24="","",SUMIFS($L$5:$L$19984,$K$5:$K$19984,R24))</f>
      </c>
      <c r="U24" s="42">
        <f t="shared" si="2"/>
      </c>
      <c r="V24" s="42"/>
      <c r="W24" s="42">
        <f t="shared" si="3"/>
      </c>
      <c r="X24" s="42"/>
      <c r="Y24" s="39"/>
    </row>
    <row r="25" ht="19.95" customHeight="1" spans="2:25" x14ac:dyDescent="0.25">
      <c r="B25" s="39"/>
      <c r="C25" s="40"/>
      <c r="D25" s="41"/>
      <c r="E25" s="42"/>
      <c r="F25" s="43"/>
      <c r="G25" s="44"/>
      <c r="H25" s="45"/>
      <c r="I25" s="43"/>
      <c r="J25" s="40"/>
      <c r="K25" s="42"/>
      <c r="L25" s="42"/>
      <c r="M25" s="42"/>
      <c r="N25" s="42"/>
      <c r="O25" s="45"/>
      <c r="P25" s="45"/>
      <c r="Q25" s="43"/>
      <c r="R25" s="48"/>
      <c r="S25" s="42">
        <f>IF(R25="","",SUMIFS($E$5:$E$19984,$D$5:$D$19984,R25))</f>
      </c>
      <c r="T25" s="42">
        <f>IF(R25="","",SUMIFS($L$5:$L$19984,$K$5:$K$19984,R25))</f>
      </c>
      <c r="U25" s="42">
        <f t="shared" si="2"/>
      </c>
      <c r="V25" s="42"/>
      <c r="W25" s="42">
        <f t="shared" si="3"/>
      </c>
      <c r="X25" s="42"/>
      <c r="Y25" s="39"/>
    </row>
    <row r="26" ht="19.95" customHeight="1" spans="2:25" x14ac:dyDescent="0.25">
      <c r="B26" s="39"/>
      <c r="C26" s="40"/>
      <c r="D26" s="41"/>
      <c r="E26" s="42"/>
      <c r="F26" s="43"/>
      <c r="G26" s="44"/>
      <c r="H26" s="45"/>
      <c r="I26" s="43"/>
      <c r="J26" s="40"/>
      <c r="K26" s="42"/>
      <c r="L26" s="42"/>
      <c r="M26" s="42"/>
      <c r="N26" s="42"/>
      <c r="O26" s="45"/>
      <c r="P26" s="45"/>
      <c r="Q26" s="43"/>
      <c r="R26" s="48"/>
      <c r="S26" s="42">
        <f>IF(R26="","",SUMIFS($E$5:$E$19984,$D$5:$D$19984,R26))</f>
      </c>
      <c r="T26" s="42">
        <f>IF(R26="","",SUMIFS($L$5:$L$19984,$K$5:$K$19984,R26))</f>
      </c>
      <c r="U26" s="42">
        <f t="shared" si="2"/>
      </c>
      <c r="V26" s="42"/>
      <c r="W26" s="42">
        <f t="shared" si="3"/>
      </c>
      <c r="X26" s="42"/>
      <c r="Y26" s="39"/>
    </row>
    <row r="27" ht="19.95" customHeight="1" spans="2:25" x14ac:dyDescent="0.25">
      <c r="B27" s="39"/>
      <c r="C27" s="40"/>
      <c r="D27" s="41"/>
      <c r="E27" s="42"/>
      <c r="F27" s="43"/>
      <c r="G27" s="44"/>
      <c r="H27" s="45"/>
      <c r="I27" s="43"/>
      <c r="J27" s="40"/>
      <c r="K27" s="42"/>
      <c r="L27" s="42"/>
      <c r="M27" s="42"/>
      <c r="N27" s="42"/>
      <c r="O27" s="45"/>
      <c r="P27" s="45"/>
      <c r="Q27" s="43"/>
      <c r="R27" s="48"/>
      <c r="S27" s="42">
        <f>IF(R27="","",SUMIFS($E$5:$E$19984,$D$5:$D$19984,R27))</f>
      </c>
      <c r="T27" s="42">
        <f>IF(R27="","",SUMIFS($L$5:$L$19984,$K$5:$K$19984,R27))</f>
      </c>
      <c r="U27" s="42">
        <f t="shared" si="2"/>
      </c>
      <c r="V27" s="42"/>
      <c r="W27" s="42">
        <f t="shared" si="3"/>
      </c>
      <c r="X27" s="42"/>
      <c r="Y27" s="39"/>
    </row>
    <row r="28" ht="19.95" customHeight="1" spans="2:25" x14ac:dyDescent="0.25">
      <c r="B28" s="39"/>
      <c r="C28" s="40"/>
      <c r="D28" s="41"/>
      <c r="E28" s="42"/>
      <c r="F28" s="43"/>
      <c r="G28" s="44"/>
      <c r="H28" s="45"/>
      <c r="I28" s="43"/>
      <c r="J28" s="40"/>
      <c r="K28" s="42"/>
      <c r="L28" s="42"/>
      <c r="M28" s="42"/>
      <c r="N28" s="42"/>
      <c r="O28" s="45"/>
      <c r="P28" s="45"/>
      <c r="Q28" s="43"/>
      <c r="R28" s="48"/>
      <c r="S28" s="42">
        <f>IF(R28="","",SUMIFS($E$5:$E$19984,$D$5:$D$19984,R28))</f>
      </c>
      <c r="T28" s="42">
        <f>IF(R28="","",SUMIFS($L$5:$L$19984,$K$5:$K$19984,R28))</f>
      </c>
      <c r="U28" s="42">
        <f t="shared" si="2"/>
      </c>
      <c r="V28" s="42"/>
      <c r="W28" s="42">
        <f t="shared" si="3"/>
      </c>
      <c r="X28" s="42"/>
      <c r="Y28" s="39"/>
    </row>
    <row r="29" ht="19.95" customHeight="1" spans="2:25" x14ac:dyDescent="0.25">
      <c r="B29" s="39"/>
      <c r="C29" s="40"/>
      <c r="D29" s="41"/>
      <c r="E29" s="42"/>
      <c r="F29" s="43"/>
      <c r="G29" s="44"/>
      <c r="H29" s="45"/>
      <c r="I29" s="43"/>
      <c r="J29" s="40"/>
      <c r="K29" s="42"/>
      <c r="L29" s="42"/>
      <c r="M29" s="42"/>
      <c r="N29" s="42"/>
      <c r="O29" s="45"/>
      <c r="P29" s="45"/>
      <c r="Q29" s="43"/>
      <c r="R29" s="48"/>
      <c r="S29" s="42">
        <f>IF(R29="","",SUMIFS($E$5:$E$19984,$D$5:$D$19984,R29))</f>
      </c>
      <c r="T29" s="42">
        <f>IF(R29="","",SUMIFS($L$5:$L$19984,$K$5:$K$19984,R29))</f>
      </c>
      <c r="U29" s="42">
        <f t="shared" si="2"/>
      </c>
      <c r="V29" s="42"/>
      <c r="W29" s="42">
        <f t="shared" si="3"/>
      </c>
      <c r="X29" s="42"/>
      <c r="Y29" s="39"/>
    </row>
    <row r="30" ht="19.95" customHeight="1" spans="2:25" x14ac:dyDescent="0.25">
      <c r="B30" s="39"/>
      <c r="C30" s="40"/>
      <c r="D30" s="41"/>
      <c r="E30" s="42"/>
      <c r="F30" s="43"/>
      <c r="G30" s="44"/>
      <c r="H30" s="45"/>
      <c r="I30" s="43"/>
      <c r="J30" s="40"/>
      <c r="K30" s="42"/>
      <c r="L30" s="42"/>
      <c r="M30" s="42"/>
      <c r="N30" s="42"/>
      <c r="O30" s="45"/>
      <c r="P30" s="45"/>
      <c r="Q30" s="43"/>
      <c r="R30" s="48"/>
      <c r="S30" s="42">
        <f>IF(R30="","",SUMIFS($E$5:$E$19984,$D$5:$D$19984,R30))</f>
      </c>
      <c r="T30" s="42">
        <f>IF(R30="","",SUMIFS($L$5:$L$19984,$K$5:$K$19984,R30))</f>
      </c>
      <c r="U30" s="42">
        <f t="shared" si="2"/>
      </c>
      <c r="V30" s="42"/>
      <c r="W30" s="42">
        <f t="shared" si="3"/>
      </c>
      <c r="X30" s="42"/>
      <c r="Y30" s="39"/>
    </row>
    <row r="31" ht="19.95" customHeight="1" spans="2:25" x14ac:dyDescent="0.25">
      <c r="B31" s="39"/>
      <c r="C31" s="40"/>
      <c r="D31" s="41"/>
      <c r="E31" s="42"/>
      <c r="F31" s="43"/>
      <c r="G31" s="44"/>
      <c r="H31" s="45"/>
      <c r="I31" s="43"/>
      <c r="J31" s="40"/>
      <c r="K31" s="42"/>
      <c r="L31" s="42"/>
      <c r="M31" s="42"/>
      <c r="N31" s="42"/>
      <c r="O31" s="45"/>
      <c r="P31" s="45"/>
      <c r="Q31" s="43"/>
      <c r="R31" s="48"/>
      <c r="S31" s="42">
        <f>IF(R31="","",SUMIFS($E$5:$E$19984,$D$5:$D$19984,R31))</f>
      </c>
      <c r="T31" s="42">
        <f>IF(R31="","",SUMIFS($L$5:$L$19984,$K$5:$K$19984,R31))</f>
      </c>
      <c r="U31" s="42">
        <f t="shared" si="2"/>
      </c>
      <c r="V31" s="42"/>
      <c r="W31" s="42">
        <f t="shared" si="3"/>
      </c>
      <c r="X31" s="42"/>
      <c r="Y31" s="39"/>
    </row>
    <row r="32" ht="19.95" customHeight="1" spans="2:25" x14ac:dyDescent="0.25">
      <c r="B32" s="39"/>
      <c r="C32" s="40"/>
      <c r="D32" s="41"/>
      <c r="E32" s="42"/>
      <c r="F32" s="43"/>
      <c r="G32" s="44"/>
      <c r="H32" s="45"/>
      <c r="I32" s="43"/>
      <c r="J32" s="40"/>
      <c r="K32" s="42"/>
      <c r="L32" s="42"/>
      <c r="M32" s="42"/>
      <c r="N32" s="42"/>
      <c r="O32" s="45"/>
      <c r="P32" s="45"/>
      <c r="Q32" s="43"/>
      <c r="R32" s="48"/>
      <c r="S32" s="42">
        <f>IF(R32="","",SUMIFS($E$5:$E$19984,$D$5:$D$19984,R32))</f>
      </c>
      <c r="T32" s="42">
        <f>IF(R32="","",SUMIFS($L$5:$L$19984,$K$5:$K$19984,R32))</f>
      </c>
      <c r="U32" s="42">
        <f t="shared" si="2"/>
      </c>
      <c r="V32" s="42"/>
      <c r="W32" s="42">
        <f t="shared" si="3"/>
      </c>
      <c r="X32" s="42"/>
      <c r="Y32" s="39"/>
    </row>
    <row r="33" ht="19.95" customHeight="1" spans="2:25" x14ac:dyDescent="0.25">
      <c r="B33" s="39"/>
      <c r="C33" s="40"/>
      <c r="D33" s="41"/>
      <c r="E33" s="42"/>
      <c r="F33" s="43"/>
      <c r="G33" s="44"/>
      <c r="H33" s="45"/>
      <c r="I33" s="43"/>
      <c r="J33" s="40"/>
      <c r="K33" s="42"/>
      <c r="L33" s="42"/>
      <c r="M33" s="42"/>
      <c r="N33" s="42"/>
      <c r="O33" s="45"/>
      <c r="P33" s="45"/>
      <c r="Q33" s="43"/>
      <c r="R33" s="48"/>
      <c r="S33" s="42">
        <f>IF(R33="","",SUMIFS($E$5:$E$19984,$D$5:$D$19984,R33))</f>
      </c>
      <c r="T33" s="42">
        <f>IF(R33="","",SUMIFS($L$5:$L$19984,$K$5:$K$19984,R33))</f>
      </c>
      <c r="U33" s="42">
        <f t="shared" si="2"/>
      </c>
      <c r="V33" s="42"/>
      <c r="W33" s="42">
        <f t="shared" si="3"/>
      </c>
      <c r="X33" s="42"/>
      <c r="Y33" s="39"/>
    </row>
    <row r="34" ht="19.95" customHeight="1" spans="2:25" x14ac:dyDescent="0.25">
      <c r="B34" s="39"/>
      <c r="C34" s="40"/>
      <c r="D34" s="41"/>
      <c r="E34" s="42"/>
      <c r="F34" s="43"/>
      <c r="G34" s="44"/>
      <c r="H34" s="45"/>
      <c r="I34" s="43"/>
      <c r="J34" s="40"/>
      <c r="K34" s="42"/>
      <c r="L34" s="42"/>
      <c r="M34" s="42"/>
      <c r="N34" s="42"/>
      <c r="O34" s="45"/>
      <c r="P34" s="45"/>
      <c r="Q34" s="43"/>
      <c r="R34" s="48"/>
      <c r="S34" s="42">
        <f>IF(R34="","",SUMIFS($E$5:$E$19984,$D$5:$D$19984,R34))</f>
      </c>
      <c r="T34" s="42">
        <f>IF(R34="","",SUMIFS($L$5:$L$19984,$K$5:$K$19984,R34))</f>
      </c>
      <c r="U34" s="42">
        <f t="shared" si="2"/>
      </c>
      <c r="V34" s="42"/>
      <c r="W34" s="42">
        <f t="shared" si="3"/>
      </c>
      <c r="X34" s="42"/>
      <c r="Y34" s="39"/>
    </row>
    <row r="35" ht="19.95" customHeight="1" spans="2:25" x14ac:dyDescent="0.25">
      <c r="B35" s="39"/>
      <c r="C35" s="40"/>
      <c r="D35" s="41"/>
      <c r="E35" s="42"/>
      <c r="F35" s="43"/>
      <c r="G35" s="44"/>
      <c r="H35" s="45"/>
      <c r="I35" s="43"/>
      <c r="J35" s="40"/>
      <c r="K35" s="42"/>
      <c r="L35" s="42"/>
      <c r="M35" s="42"/>
      <c r="N35" s="42"/>
      <c r="O35" s="45"/>
      <c r="P35" s="45"/>
      <c r="Q35" s="43"/>
      <c r="R35" s="48"/>
      <c r="S35" s="42">
        <f>IF(R35="","",SUMIFS($E$5:$E$19984,$D$5:$D$19984,R35))</f>
      </c>
      <c r="T35" s="42">
        <f>IF(R35="","",SUMIFS($L$5:$L$19984,$K$5:$K$19984,R35))</f>
      </c>
      <c r="U35" s="42">
        <f t="shared" si="2"/>
      </c>
      <c r="V35" s="42"/>
      <c r="W35" s="42">
        <f t="shared" si="3"/>
      </c>
      <c r="X35" s="42"/>
      <c r="Y35" s="39"/>
    </row>
    <row r="36" ht="19.95" customHeight="1" spans="2:25" x14ac:dyDescent="0.25">
      <c r="B36" s="39"/>
      <c r="C36" s="40"/>
      <c r="D36" s="41"/>
      <c r="E36" s="42"/>
      <c r="F36" s="43"/>
      <c r="G36" s="44"/>
      <c r="H36" s="45"/>
      <c r="I36" s="43"/>
      <c r="J36" s="40"/>
      <c r="K36" s="42"/>
      <c r="L36" s="42"/>
      <c r="M36" s="42"/>
      <c r="N36" s="42"/>
      <c r="O36" s="45"/>
      <c r="P36" s="45"/>
      <c r="Q36" s="43"/>
      <c r="R36" s="48"/>
      <c r="S36" s="42">
        <f>IF(R36="","",SUMIFS($E$5:$E$19984,$D$5:$D$19984,R36))</f>
      </c>
      <c r="T36" s="42">
        <f>IF(R36="","",SUMIFS($L$5:$L$19984,$K$5:$K$19984,R36))</f>
      </c>
      <c r="U36" s="42">
        <f t="shared" si="2"/>
      </c>
      <c r="V36" s="42"/>
      <c r="W36" s="42">
        <f t="shared" si="3"/>
      </c>
      <c r="X36" s="42"/>
      <c r="Y36" s="39"/>
    </row>
    <row r="37" ht="19.95" customHeight="1" spans="2:25" x14ac:dyDescent="0.25">
      <c r="B37" s="39"/>
      <c r="C37" s="40"/>
      <c r="D37" s="41"/>
      <c r="E37" s="42"/>
      <c r="F37" s="43"/>
      <c r="G37" s="44"/>
      <c r="H37" s="45"/>
      <c r="I37" s="43"/>
      <c r="J37" s="40"/>
      <c r="K37" s="42"/>
      <c r="L37" s="42"/>
      <c r="M37" s="42"/>
      <c r="N37" s="42"/>
      <c r="O37" s="45"/>
      <c r="P37" s="45"/>
      <c r="Q37" s="43"/>
      <c r="R37" s="48"/>
      <c r="S37" s="42">
        <f>IF(R37="","",SUMIFS($E$5:$E$19984,$D$5:$D$19984,R37))</f>
      </c>
      <c r="T37" s="42">
        <f>IF(R37="","",SUMIFS($L$5:$L$19984,$K$5:$K$19984,R37))</f>
      </c>
      <c r="U37" s="42">
        <f t="shared" si="2"/>
      </c>
      <c r="V37" s="42"/>
      <c r="W37" s="42">
        <f t="shared" si="3"/>
      </c>
      <c r="X37" s="42"/>
      <c r="Y37" s="39"/>
    </row>
    <row r="38" ht="19.95" customHeight="1" spans="2:25" x14ac:dyDescent="0.25">
      <c r="B38" s="39"/>
      <c r="C38" s="40"/>
      <c r="D38" s="41"/>
      <c r="E38" s="42"/>
      <c r="F38" s="43"/>
      <c r="G38" s="44"/>
      <c r="H38" s="45"/>
      <c r="I38" s="43"/>
      <c r="J38" s="40"/>
      <c r="K38" s="42"/>
      <c r="L38" s="42"/>
      <c r="M38" s="42"/>
      <c r="N38" s="42"/>
      <c r="O38" s="45"/>
      <c r="P38" s="45"/>
      <c r="Q38" s="43"/>
      <c r="R38" s="48"/>
      <c r="S38" s="42">
        <f>IF(R38="","",SUMIFS($E$5:$E$19984,$D$5:$D$19984,R38))</f>
      </c>
      <c r="T38" s="42">
        <f>IF(R38="","",SUMIFS($L$5:$L$19984,$K$5:$K$19984,R38))</f>
      </c>
      <c r="U38" s="42">
        <f t="shared" si="2"/>
      </c>
      <c r="V38" s="42"/>
      <c r="W38" s="42">
        <f t="shared" si="3"/>
      </c>
      <c r="X38" s="42"/>
      <c r="Y38" s="39"/>
    </row>
    <row r="39" ht="19.95" customHeight="1" spans="2:25" x14ac:dyDescent="0.25">
      <c r="B39" s="39"/>
      <c r="C39" s="40"/>
      <c r="D39" s="41"/>
      <c r="E39" s="42"/>
      <c r="F39" s="43"/>
      <c r="G39" s="44"/>
      <c r="H39" s="45"/>
      <c r="I39" s="43"/>
      <c r="J39" s="40"/>
      <c r="K39" s="42"/>
      <c r="L39" s="42"/>
      <c r="M39" s="42"/>
      <c r="N39" s="42"/>
      <c r="O39" s="45"/>
      <c r="P39" s="45"/>
      <c r="Q39" s="43"/>
      <c r="R39" s="48"/>
      <c r="S39" s="42">
        <f>IF(R39="","",SUMIFS($E$5:$E$19984,$D$5:$D$19984,R39))</f>
      </c>
      <c r="T39" s="42">
        <f>IF(R39="","",SUMIFS($L$5:$L$19984,$K$5:$K$19984,R39))</f>
      </c>
      <c r="U39" s="42">
        <f t="shared" si="2"/>
      </c>
      <c r="V39" s="42"/>
      <c r="W39" s="42">
        <f t="shared" si="3"/>
      </c>
      <c r="X39" s="42"/>
      <c r="Y39" s="39"/>
    </row>
    <row r="40" ht="19.95" customHeight="1" spans="2:25" x14ac:dyDescent="0.25">
      <c r="B40" s="39"/>
      <c r="C40" s="40"/>
      <c r="D40" s="41"/>
      <c r="E40" s="42"/>
      <c r="F40" s="43"/>
      <c r="G40" s="44"/>
      <c r="H40" s="45"/>
      <c r="I40" s="43"/>
      <c r="J40" s="40"/>
      <c r="K40" s="42"/>
      <c r="L40" s="42"/>
      <c r="M40" s="42"/>
      <c r="N40" s="42"/>
      <c r="O40" s="45"/>
      <c r="P40" s="45"/>
      <c r="Q40" s="43"/>
      <c r="R40" s="48"/>
      <c r="S40" s="42">
        <f>IF(R40="","",SUMIFS($E$5:$E$19984,$D$5:$D$19984,R40))</f>
      </c>
      <c r="T40" s="42">
        <f>IF(R40="","",SUMIFS($L$5:$L$19984,$K$5:$K$19984,R40))</f>
      </c>
      <c r="U40" s="42">
        <f t="shared" si="2"/>
      </c>
      <c r="V40" s="42"/>
      <c r="W40" s="42">
        <f t="shared" si="3"/>
      </c>
      <c r="X40" s="42"/>
      <c r="Y40" s="39"/>
    </row>
    <row r="41" ht="19.95" customHeight="1" spans="2:25" x14ac:dyDescent="0.25">
      <c r="B41" s="39"/>
      <c r="C41" s="40"/>
      <c r="D41" s="41"/>
      <c r="E41" s="42"/>
      <c r="F41" s="43"/>
      <c r="G41" s="44"/>
      <c r="H41" s="45"/>
      <c r="I41" s="43"/>
      <c r="J41" s="40"/>
      <c r="K41" s="42"/>
      <c r="L41" s="42"/>
      <c r="M41" s="42"/>
      <c r="N41" s="42"/>
      <c r="O41" s="45"/>
      <c r="P41" s="45"/>
      <c r="Q41" s="43"/>
      <c r="R41" s="48"/>
      <c r="S41" s="42">
        <f>IF(R41="","",SUMIFS($E$5:$E$19984,$D$5:$D$19984,R41))</f>
      </c>
      <c r="T41" s="42">
        <f>IF(R41="","",SUMIFS($L$5:$L$19984,$K$5:$K$19984,R41))</f>
      </c>
      <c r="U41" s="42">
        <f t="shared" si="2"/>
      </c>
      <c r="V41" s="42"/>
      <c r="W41" s="42">
        <f t="shared" si="3"/>
      </c>
      <c r="X41" s="42"/>
      <c r="Y41" s="39"/>
    </row>
    <row r="42" ht="19.95" customHeight="1" spans="2:25" x14ac:dyDescent="0.25">
      <c r="B42" s="39"/>
      <c r="C42" s="40"/>
      <c r="D42" s="41"/>
      <c r="E42" s="42"/>
      <c r="F42" s="43"/>
      <c r="G42" s="44"/>
      <c r="H42" s="45"/>
      <c r="I42" s="43"/>
      <c r="J42" s="40"/>
      <c r="K42" s="42"/>
      <c r="L42" s="42"/>
      <c r="M42" s="42"/>
      <c r="N42" s="42"/>
      <c r="O42" s="45"/>
      <c r="P42" s="45"/>
      <c r="Q42" s="43"/>
      <c r="R42" s="48"/>
      <c r="S42" s="42">
        <f>IF(R42="","",SUMIFS($E$5:$E$19984,$D$5:$D$19984,R42))</f>
      </c>
      <c r="T42" s="42">
        <f>IF(R42="","",SUMIFS($L$5:$L$19984,$K$5:$K$19984,R42))</f>
      </c>
      <c r="U42" s="42">
        <f t="shared" si="2"/>
      </c>
      <c r="V42" s="42"/>
      <c r="W42" s="42">
        <f t="shared" si="3"/>
      </c>
      <c r="X42" s="42"/>
      <c r="Y42" s="39"/>
    </row>
    <row r="43" ht="19.95" customHeight="1" spans="2:25" x14ac:dyDescent="0.25">
      <c r="B43" s="39"/>
      <c r="C43" s="40"/>
      <c r="D43" s="41"/>
      <c r="E43" s="42"/>
      <c r="F43" s="43"/>
      <c r="G43" s="44"/>
      <c r="H43" s="45"/>
      <c r="I43" s="43"/>
      <c r="J43" s="40"/>
      <c r="K43" s="42"/>
      <c r="L43" s="42"/>
      <c r="M43" s="42"/>
      <c r="N43" s="42"/>
      <c r="O43" s="45"/>
      <c r="P43" s="45"/>
      <c r="Q43" s="43"/>
      <c r="R43" s="48"/>
      <c r="S43" s="42">
        <f>IF(R43="","",SUMIFS($E$5:$E$19984,$D$5:$D$19984,R43))</f>
      </c>
      <c r="T43" s="42">
        <f>IF(R43="","",SUMIFS($L$5:$L$19984,$K$5:$K$19984,R43))</f>
      </c>
      <c r="U43" s="42">
        <f t="shared" si="2"/>
      </c>
      <c r="V43" s="42"/>
      <c r="W43" s="42">
        <f t="shared" si="3"/>
      </c>
      <c r="X43" s="42"/>
      <c r="Y43" s="39"/>
    </row>
    <row r="44" ht="19.95" customHeight="1" spans="2:25" x14ac:dyDescent="0.25">
      <c r="B44" s="39"/>
      <c r="C44" s="40"/>
      <c r="D44" s="41"/>
      <c r="E44" s="42"/>
      <c r="F44" s="43"/>
      <c r="G44" s="44"/>
      <c r="H44" s="45"/>
      <c r="I44" s="43"/>
      <c r="J44" s="40"/>
      <c r="K44" s="42"/>
      <c r="L44" s="42"/>
      <c r="M44" s="42"/>
      <c r="N44" s="42"/>
      <c r="O44" s="45"/>
      <c r="P44" s="45"/>
      <c r="Q44" s="43"/>
      <c r="R44" s="48"/>
      <c r="S44" s="42">
        <f>IF(R44="","",SUMIFS($E$5:$E$19984,$D$5:$D$19984,R44))</f>
      </c>
      <c r="T44" s="42">
        <f>IF(R44="","",SUMIFS($L$5:$L$19984,$K$5:$K$19984,R44))</f>
      </c>
      <c r="U44" s="42">
        <f t="shared" si="2"/>
      </c>
      <c r="V44" s="42"/>
      <c r="W44" s="42">
        <f t="shared" si="3"/>
      </c>
      <c r="X44" s="42"/>
      <c r="Y44" s="39"/>
    </row>
    <row r="45" ht="19.95" customHeight="1" spans="2:25" x14ac:dyDescent="0.25">
      <c r="B45" s="39"/>
      <c r="C45" s="40"/>
      <c r="D45" s="41"/>
      <c r="E45" s="42"/>
      <c r="F45" s="43"/>
      <c r="G45" s="44"/>
      <c r="H45" s="45"/>
      <c r="I45" s="43"/>
      <c r="J45" s="40"/>
      <c r="K45" s="42"/>
      <c r="L45" s="42"/>
      <c r="M45" s="42"/>
      <c r="N45" s="42"/>
      <c r="O45" s="45"/>
      <c r="P45" s="45"/>
      <c r="Q45" s="43"/>
      <c r="R45" s="48"/>
      <c r="S45" s="42">
        <f>IF(R45="","",SUMIFS($E$5:$E$19984,$D$5:$D$19984,R45))</f>
      </c>
      <c r="T45" s="42">
        <f>IF(R45="","",SUMIFS($L$5:$L$19984,$K$5:$K$19984,R45))</f>
      </c>
      <c r="U45" s="42">
        <f t="shared" si="2"/>
      </c>
      <c r="V45" s="42"/>
      <c r="W45" s="42">
        <f t="shared" si="3"/>
      </c>
      <c r="X45" s="42"/>
      <c r="Y45" s="39"/>
    </row>
    <row r="46" ht="19.95" customHeight="1" spans="2:25" x14ac:dyDescent="0.25">
      <c r="B46" s="39"/>
      <c r="C46" s="40"/>
      <c r="D46" s="41"/>
      <c r="E46" s="42"/>
      <c r="F46" s="43"/>
      <c r="G46" s="44"/>
      <c r="H46" s="45"/>
      <c r="I46" s="43"/>
      <c r="J46" s="40"/>
      <c r="K46" s="42"/>
      <c r="L46" s="42"/>
      <c r="M46" s="42"/>
      <c r="N46" s="42"/>
      <c r="O46" s="45"/>
      <c r="P46" s="45"/>
      <c r="Q46" s="43"/>
      <c r="R46" s="48"/>
      <c r="S46" s="42">
        <f>IF(R46="","",SUMIFS($E$5:$E$19984,$D$5:$D$19984,R46))</f>
      </c>
      <c r="T46" s="42">
        <f>IF(R46="","",SUMIFS($L$5:$L$19984,$K$5:$K$19984,R46))</f>
      </c>
      <c r="U46" s="42">
        <f t="shared" si="2"/>
      </c>
      <c r="V46" s="42"/>
      <c r="W46" s="42">
        <f t="shared" si="3"/>
      </c>
      <c r="X46" s="42"/>
      <c r="Y46" s="39"/>
    </row>
    <row r="47" ht="17.25" customHeight="1" spans="2:25" x14ac:dyDescent="0.25">
      <c r="B47" s="39"/>
      <c r="C47" s="40"/>
      <c r="D47" s="41"/>
      <c r="E47" s="42"/>
      <c r="F47" s="43"/>
      <c r="G47" s="44"/>
      <c r="H47" s="45"/>
      <c r="I47" s="43"/>
      <c r="J47" s="40"/>
      <c r="K47" s="42"/>
      <c r="L47" s="42"/>
      <c r="M47" s="42"/>
      <c r="N47" s="42"/>
      <c r="O47" s="45"/>
      <c r="P47" s="45"/>
      <c r="Q47" s="43"/>
      <c r="R47" s="48"/>
      <c r="S47" s="42">
        <f>IF(R47="","",SUMIFS($E$5:$E$19984,$D$5:$D$19984,R47))</f>
      </c>
      <c r="T47" s="42">
        <f>IF(R47="","",SUMIFS($L$5:$L$19984,$K$5:$K$19984,R47))</f>
      </c>
      <c r="U47" s="42">
        <f t="shared" si="2"/>
      </c>
      <c r="V47" s="42"/>
      <c r="W47" s="42">
        <f t="shared" si="3"/>
      </c>
      <c r="X47" s="42"/>
      <c r="Y47" s="39"/>
    </row>
    <row r="48" ht="17.25" customHeight="1" spans="2:25" x14ac:dyDescent="0.25">
      <c r="B48" s="39"/>
      <c r="C48" s="40"/>
      <c r="D48" s="41"/>
      <c r="E48" s="42"/>
      <c r="F48" s="43"/>
      <c r="G48" s="44"/>
      <c r="H48" s="45"/>
      <c r="I48" s="43"/>
      <c r="J48" s="40"/>
      <c r="K48" s="42"/>
      <c r="L48" s="42"/>
      <c r="M48" s="42"/>
      <c r="N48" s="42"/>
      <c r="O48" s="45"/>
      <c r="P48" s="45"/>
      <c r="Q48" s="43"/>
      <c r="R48" s="48"/>
      <c r="S48" s="42">
        <f>IF(R48="","",SUMIFS($E$5:$E$19984,$D$5:$D$19984,R48))</f>
      </c>
      <c r="T48" s="42">
        <f>IF(R48="","",SUMIFS($L$5:$L$19984,$K$5:$K$19984,R48))</f>
      </c>
      <c r="U48" s="42">
        <f t="shared" si="2"/>
      </c>
      <c r="V48" s="42"/>
      <c r="W48" s="42">
        <f t="shared" si="3"/>
      </c>
      <c r="X48" s="42"/>
      <c r="Y48" s="39"/>
    </row>
    <row r="49" ht="17.25" customHeight="1" spans="2:25" x14ac:dyDescent="0.25">
      <c r="B49" s="39"/>
      <c r="C49" s="40"/>
      <c r="D49" s="41"/>
      <c r="E49" s="42"/>
      <c r="F49" s="43"/>
      <c r="G49" s="44"/>
      <c r="H49" s="45"/>
      <c r="I49" s="43"/>
      <c r="J49" s="40"/>
      <c r="K49" s="42"/>
      <c r="L49" s="42"/>
      <c r="M49" s="42"/>
      <c r="N49" s="42"/>
      <c r="O49" s="45"/>
      <c r="P49" s="45"/>
      <c r="Q49" s="43"/>
      <c r="R49" s="48"/>
      <c r="S49" s="42">
        <f>IF(R49="","",SUMIFS($E$5:$E$19984,$D$5:$D$19984,R49))</f>
      </c>
      <c r="T49" s="42">
        <f>IF(R49="","",SUMIFS($L$5:$L$19984,$K$5:$K$19984,R49))</f>
      </c>
      <c r="U49" s="42">
        <f t="shared" si="2"/>
      </c>
      <c r="V49" s="42"/>
      <c r="W49" s="42">
        <f t="shared" si="3"/>
      </c>
      <c r="X49" s="42"/>
      <c r="Y49" s="39"/>
    </row>
    <row r="50" ht="17.25" customHeight="1" spans="2:25" x14ac:dyDescent="0.25">
      <c r="B50" s="39"/>
      <c r="C50" s="40"/>
      <c r="D50" s="41"/>
      <c r="E50" s="42"/>
      <c r="F50" s="43"/>
      <c r="G50" s="44"/>
      <c r="H50" s="45"/>
      <c r="I50" s="43"/>
      <c r="J50" s="40"/>
      <c r="K50" s="42"/>
      <c r="L50" s="42"/>
      <c r="M50" s="42"/>
      <c r="N50" s="42"/>
      <c r="O50" s="45"/>
      <c r="P50" s="45"/>
      <c r="Q50" s="43"/>
      <c r="R50" s="48"/>
      <c r="S50" s="42">
        <f>IF(R50="","",SUMIFS($E$5:$E$19984,$D$5:$D$19984,R50))</f>
      </c>
      <c r="T50" s="42">
        <f>IF(R50="","",SUMIFS($L$5:$L$19984,$K$5:$K$19984,R50))</f>
      </c>
      <c r="U50" s="42">
        <f t="shared" si="2"/>
      </c>
      <c r="V50" s="42"/>
      <c r="W50" s="42">
        <f t="shared" si="3"/>
      </c>
      <c r="X50" s="42"/>
      <c r="Y50" s="39"/>
    </row>
    <row r="51" ht="17.25" customHeight="1" spans="2:25" x14ac:dyDescent="0.25">
      <c r="B51" s="39"/>
      <c r="C51" s="40"/>
      <c r="D51" s="41"/>
      <c r="E51" s="42"/>
      <c r="F51" s="43"/>
      <c r="G51" s="44"/>
      <c r="H51" s="45"/>
      <c r="I51" s="43"/>
      <c r="J51" s="40"/>
      <c r="K51" s="42"/>
      <c r="L51" s="42"/>
      <c r="M51" s="42"/>
      <c r="N51" s="42"/>
      <c r="O51" s="45"/>
      <c r="P51" s="45"/>
      <c r="Q51" s="43"/>
      <c r="R51" s="48"/>
      <c r="S51" s="42">
        <f>IF(R51="","",SUMIFS($E$5:$E$19984,$D$5:$D$19984,R51))</f>
      </c>
      <c r="T51" s="42">
        <f>IF(R51="","",SUMIFS($L$5:$L$19984,$K$5:$K$19984,R51))</f>
      </c>
      <c r="U51" s="42">
        <f t="shared" si="2"/>
      </c>
      <c r="V51" s="42"/>
      <c r="W51" s="42">
        <f t="shared" si="3"/>
      </c>
      <c r="X51" s="42"/>
      <c r="Y51" s="39"/>
    </row>
    <row r="52" ht="17.25" customHeight="1" spans="2:25" x14ac:dyDescent="0.25">
      <c r="B52" s="39"/>
      <c r="C52" s="40"/>
      <c r="D52" s="41"/>
      <c r="E52" s="42"/>
      <c r="F52" s="43"/>
      <c r="G52" s="44"/>
      <c r="H52" s="45"/>
      <c r="I52" s="43"/>
      <c r="J52" s="40"/>
      <c r="K52" s="42"/>
      <c r="L52" s="42"/>
      <c r="M52" s="42"/>
      <c r="N52" s="42"/>
      <c r="O52" s="45"/>
      <c r="P52" s="45"/>
      <c r="Q52" s="43"/>
      <c r="R52" s="48"/>
      <c r="S52" s="42">
        <f>IF(R52="","",SUMIFS($E$5:$E$19984,$D$5:$D$19984,R52))</f>
      </c>
      <c r="T52" s="42">
        <f>IF(R52="","",SUMIFS($L$5:$L$19984,$K$5:$K$19984,R52))</f>
      </c>
      <c r="U52" s="42">
        <f t="shared" si="2"/>
      </c>
      <c r="V52" s="42"/>
      <c r="W52" s="42">
        <f t="shared" si="3"/>
      </c>
      <c r="X52" s="42"/>
      <c r="Y52" s="39"/>
    </row>
    <row r="53" ht="17.25" customHeight="1" spans="2:25" x14ac:dyDescent="0.25">
      <c r="B53" s="39"/>
      <c r="C53" s="40"/>
      <c r="D53" s="41"/>
      <c r="E53" s="42"/>
      <c r="F53" s="43"/>
      <c r="G53" s="44"/>
      <c r="H53" s="45"/>
      <c r="I53" s="43"/>
      <c r="J53" s="40"/>
      <c r="K53" s="42"/>
      <c r="L53" s="42"/>
      <c r="M53" s="42"/>
      <c r="N53" s="42"/>
      <c r="O53" s="45"/>
      <c r="P53" s="45"/>
      <c r="Q53" s="43"/>
      <c r="R53" s="48"/>
      <c r="S53" s="42">
        <f>IF(R53="","",SUMIFS($E$5:$E$19984,$D$5:$D$19984,R53))</f>
      </c>
      <c r="T53" s="42">
        <f>IF(R53="","",SUMIFS($L$5:$L$19984,$K$5:$K$19984,R53))</f>
      </c>
      <c r="U53" s="42">
        <f t="shared" si="2"/>
      </c>
      <c r="V53" s="42"/>
      <c r="W53" s="42">
        <f t="shared" si="3"/>
      </c>
      <c r="X53" s="42"/>
      <c r="Y53" s="39"/>
    </row>
    <row r="54" ht="17.25" customHeight="1" spans="2:25" x14ac:dyDescent="0.25">
      <c r="B54" s="39"/>
      <c r="C54" s="40"/>
      <c r="D54" s="41"/>
      <c r="E54" s="42"/>
      <c r="F54" s="43"/>
      <c r="G54" s="44"/>
      <c r="H54" s="45"/>
      <c r="I54" s="43"/>
      <c r="J54" s="40"/>
      <c r="K54" s="42"/>
      <c r="L54" s="42"/>
      <c r="M54" s="42"/>
      <c r="N54" s="42"/>
      <c r="O54" s="45"/>
      <c r="P54" s="45"/>
      <c r="Q54" s="43"/>
      <c r="R54" s="48"/>
      <c r="S54" s="42">
        <f>IF(R54="","",SUMIFS($E$5:$E$19984,$D$5:$D$19984,R54))</f>
      </c>
      <c r="T54" s="42">
        <f>IF(R54="","",SUMIFS($L$5:$L$19984,$K$5:$K$19984,R54))</f>
      </c>
      <c r="U54" s="42">
        <f t="shared" si="2"/>
      </c>
      <c r="V54" s="42"/>
      <c r="W54" s="42">
        <f t="shared" si="3"/>
      </c>
      <c r="X54" s="42"/>
      <c r="Y54" s="39"/>
    </row>
    <row r="55" ht="17.25" customHeight="1" spans="2:25" x14ac:dyDescent="0.25">
      <c r="B55" s="39"/>
      <c r="C55" s="40"/>
      <c r="D55" s="41"/>
      <c r="E55" s="42"/>
      <c r="F55" s="43"/>
      <c r="G55" s="44"/>
      <c r="H55" s="45"/>
      <c r="I55" s="43"/>
      <c r="J55" s="40"/>
      <c r="K55" s="42"/>
      <c r="L55" s="42"/>
      <c r="M55" s="42"/>
      <c r="N55" s="42"/>
      <c r="O55" s="45"/>
      <c r="P55" s="45"/>
      <c r="Q55" s="43"/>
      <c r="R55" s="48"/>
      <c r="S55" s="42">
        <f>IF(R55="","",SUMIFS($E$5:$E$19984,$D$5:$D$19984,R55))</f>
      </c>
      <c r="T55" s="42">
        <f>IF(R55="","",SUMIFS($L$5:$L$19984,$K$5:$K$19984,R55))</f>
      </c>
      <c r="U55" s="42">
        <f t="shared" si="2"/>
      </c>
      <c r="V55" s="42"/>
      <c r="W55" s="42">
        <f t="shared" si="3"/>
      </c>
      <c r="X55" s="42"/>
      <c r="Y55" s="39"/>
    </row>
    <row r="56" ht="17.25" customHeight="1" spans="2:25" x14ac:dyDescent="0.25">
      <c r="B56" s="39"/>
      <c r="C56" s="40"/>
      <c r="D56" s="41"/>
      <c r="E56" s="42"/>
      <c r="F56" s="43"/>
      <c r="G56" s="44"/>
      <c r="H56" s="45"/>
      <c r="I56" s="43"/>
      <c r="J56" s="40"/>
      <c r="K56" s="42"/>
      <c r="L56" s="42"/>
      <c r="M56" s="42"/>
      <c r="N56" s="42"/>
      <c r="O56" s="45"/>
      <c r="P56" s="45"/>
      <c r="Q56" s="43"/>
      <c r="R56" s="48"/>
      <c r="S56" s="42">
        <f>IF(R56="","",SUMIFS($E$5:$E$19984,$D$5:$D$19984,R56))</f>
      </c>
      <c r="T56" s="42">
        <f>IF(R56="","",SUMIFS($L$5:$L$19984,$K$5:$K$19984,R56))</f>
      </c>
      <c r="U56" s="42">
        <f t="shared" si="2"/>
      </c>
      <c r="V56" s="42"/>
      <c r="W56" s="42">
        <f t="shared" si="3"/>
      </c>
      <c r="X56" s="42"/>
      <c r="Y56" s="39"/>
    </row>
    <row r="57" ht="17.25" customHeight="1" spans="2:25" x14ac:dyDescent="0.25">
      <c r="B57" s="39"/>
      <c r="C57" s="40"/>
      <c r="D57" s="41"/>
      <c r="E57" s="42"/>
      <c r="F57" s="43"/>
      <c r="G57" s="44"/>
      <c r="H57" s="45"/>
      <c r="I57" s="43"/>
      <c r="J57" s="40"/>
      <c r="K57" s="42"/>
      <c r="L57" s="42"/>
      <c r="M57" s="42"/>
      <c r="N57" s="42"/>
      <c r="O57" s="45"/>
      <c r="P57" s="45"/>
      <c r="Q57" s="43"/>
      <c r="R57" s="48"/>
      <c r="S57" s="42">
        <f>IF(R57="","",SUMIFS($E$5:$E$19984,$D$5:$D$19984,R57))</f>
      </c>
      <c r="T57" s="42">
        <f>IF(R57="","",SUMIFS($L$5:$L$19984,$K$5:$K$19984,R57))</f>
      </c>
      <c r="U57" s="42">
        <f t="shared" si="2"/>
      </c>
      <c r="V57" s="42"/>
      <c r="W57" s="42">
        <f t="shared" si="3"/>
      </c>
      <c r="X57" s="42"/>
      <c r="Y57" s="39"/>
    </row>
    <row r="58" ht="17.25" customHeight="1" spans="2:25" x14ac:dyDescent="0.25">
      <c r="B58" s="39"/>
      <c r="C58" s="40"/>
      <c r="D58" s="41"/>
      <c r="E58" s="42"/>
      <c r="F58" s="43"/>
      <c r="G58" s="44"/>
      <c r="H58" s="45"/>
      <c r="I58" s="43"/>
      <c r="J58" s="40"/>
      <c r="K58" s="42"/>
      <c r="L58" s="42"/>
      <c r="M58" s="42"/>
      <c r="N58" s="42"/>
      <c r="O58" s="45"/>
      <c r="P58" s="45"/>
      <c r="Q58" s="43"/>
      <c r="R58" s="48"/>
      <c r="S58" s="42">
        <f>IF(R58="","",SUMIFS($E$5:$E$19984,$D$5:$D$19984,R58))</f>
      </c>
      <c r="T58" s="42">
        <f>IF(R58="","",SUMIFS($L$5:$L$19984,$K$5:$K$19984,R58))</f>
      </c>
      <c r="U58" s="42">
        <f t="shared" si="2"/>
      </c>
      <c r="V58" s="42"/>
      <c r="W58" s="42">
        <f t="shared" si="3"/>
      </c>
      <c r="X58" s="42"/>
      <c r="Y58" s="39"/>
    </row>
    <row r="59" ht="17.25" customHeight="1" spans="2:25" x14ac:dyDescent="0.25">
      <c r="B59" s="39"/>
      <c r="C59" s="40"/>
      <c r="D59" s="41"/>
      <c r="E59" s="42"/>
      <c r="F59" s="43"/>
      <c r="G59" s="44"/>
      <c r="H59" s="45"/>
      <c r="I59" s="43"/>
      <c r="J59" s="40"/>
      <c r="K59" s="42"/>
      <c r="L59" s="42"/>
      <c r="M59" s="42"/>
      <c r="N59" s="42"/>
      <c r="O59" s="45"/>
      <c r="P59" s="45"/>
      <c r="Q59" s="43"/>
      <c r="R59" s="48"/>
      <c r="S59" s="42">
        <f>IF(R59="","",SUMIFS($E$5:$E$19984,$D$5:$D$19984,R59))</f>
      </c>
      <c r="T59" s="42">
        <f>IF(R59="","",SUMIFS($L$5:$L$19984,$K$5:$K$19984,R59))</f>
      </c>
      <c r="U59" s="42">
        <f t="shared" si="2"/>
      </c>
      <c r="V59" s="42"/>
      <c r="W59" s="42">
        <f t="shared" si="3"/>
      </c>
      <c r="X59" s="42"/>
      <c r="Y59" s="39"/>
    </row>
    <row r="60" ht="17.25" customHeight="1" spans="2:25" x14ac:dyDescent="0.25">
      <c r="B60" s="39"/>
      <c r="C60" s="40"/>
      <c r="D60" s="41"/>
      <c r="E60" s="42"/>
      <c r="F60" s="43"/>
      <c r="G60" s="44"/>
      <c r="H60" s="45"/>
      <c r="I60" s="43"/>
      <c r="J60" s="40"/>
      <c r="K60" s="42"/>
      <c r="L60" s="42"/>
      <c r="M60" s="42"/>
      <c r="N60" s="42"/>
      <c r="O60" s="45"/>
      <c r="P60" s="45"/>
      <c r="Q60" s="43"/>
      <c r="R60" s="48"/>
      <c r="S60" s="42">
        <f>IF(R60="","",SUMIFS($E$5:$E$19984,$D$5:$D$19984,R60))</f>
      </c>
      <c r="T60" s="42">
        <f>IF(R60="","",SUMIFS($L$5:$L$19984,$K$5:$K$19984,R60))</f>
      </c>
      <c r="U60" s="42">
        <f t="shared" si="2"/>
      </c>
      <c r="V60" s="42"/>
      <c r="W60" s="42">
        <f t="shared" si="3"/>
      </c>
      <c r="X60" s="42"/>
      <c r="Y60" s="39"/>
    </row>
    <row r="61" ht="17.25" customHeight="1" spans="2:25" x14ac:dyDescent="0.25">
      <c r="B61" s="39"/>
      <c r="C61" s="40"/>
      <c r="D61" s="41"/>
      <c r="E61" s="42"/>
      <c r="F61" s="43"/>
      <c r="G61" s="44"/>
      <c r="H61" s="45"/>
      <c r="I61" s="43"/>
      <c r="J61" s="40"/>
      <c r="K61" s="42"/>
      <c r="L61" s="42"/>
      <c r="M61" s="42"/>
      <c r="N61" s="42"/>
      <c r="O61" s="45"/>
      <c r="P61" s="45"/>
      <c r="Q61" s="43"/>
      <c r="R61" s="48"/>
      <c r="S61" s="42">
        <f>IF(R61="","",SUMIFS($E$5:$E$19984,$D$5:$D$19984,R61))</f>
      </c>
      <c r="T61" s="42">
        <f>IF(R61="","",SUMIFS($L$5:$L$19984,$K$5:$K$19984,R61))</f>
      </c>
      <c r="U61" s="42">
        <f t="shared" si="2"/>
      </c>
      <c r="V61" s="42"/>
      <c r="W61" s="42">
        <f t="shared" si="3"/>
      </c>
      <c r="X61" s="42"/>
      <c r="Y61" s="39"/>
    </row>
    <row r="62" ht="17.25" customHeight="1" spans="2:25" x14ac:dyDescent="0.25">
      <c r="B62" s="39"/>
      <c r="C62" s="40"/>
      <c r="D62" s="41"/>
      <c r="E62" s="42"/>
      <c r="F62" s="43"/>
      <c r="G62" s="44"/>
      <c r="H62" s="45"/>
      <c r="I62" s="43"/>
      <c r="J62" s="40"/>
      <c r="K62" s="42"/>
      <c r="L62" s="42"/>
      <c r="M62" s="42"/>
      <c r="N62" s="42"/>
      <c r="O62" s="45"/>
      <c r="P62" s="45"/>
      <c r="Q62" s="43"/>
      <c r="R62" s="48"/>
      <c r="S62" s="42">
        <f>IF(R62="","",SUMIFS($E$5:$E$19984,$D$5:$D$19984,R62))</f>
      </c>
      <c r="T62" s="42">
        <f>IF(R62="","",SUMIFS($L$5:$L$19984,$K$5:$K$19984,R62))</f>
      </c>
      <c r="U62" s="42">
        <f t="shared" si="2"/>
      </c>
      <c r="V62" s="42"/>
      <c r="W62" s="42">
        <f t="shared" si="3"/>
      </c>
      <c r="X62" s="42"/>
      <c r="Y62" s="39"/>
    </row>
    <row r="63" ht="17.25" customHeight="1" spans="2:25" x14ac:dyDescent="0.25">
      <c r="B63" s="39"/>
      <c r="C63" s="40"/>
      <c r="D63" s="41"/>
      <c r="E63" s="42"/>
      <c r="F63" s="43"/>
      <c r="G63" s="44"/>
      <c r="H63" s="45"/>
      <c r="I63" s="43"/>
      <c r="J63" s="40"/>
      <c r="K63" s="42"/>
      <c r="L63" s="42"/>
      <c r="M63" s="42"/>
      <c r="N63" s="42"/>
      <c r="O63" s="45"/>
      <c r="P63" s="45"/>
      <c r="Q63" s="43"/>
      <c r="R63" s="48"/>
      <c r="S63" s="42">
        <f>IF(R63="","",SUMIFS($E$5:$E$19984,$D$5:$D$19984,R63))</f>
      </c>
      <c r="T63" s="42">
        <f>IF(R63="","",SUMIFS($L$5:$L$19984,$K$5:$K$19984,R63))</f>
      </c>
      <c r="U63" s="42">
        <f t="shared" si="2"/>
      </c>
      <c r="V63" s="42"/>
      <c r="W63" s="42">
        <f t="shared" si="3"/>
      </c>
      <c r="X63" s="42"/>
      <c r="Y63" s="39"/>
    </row>
    <row r="64" ht="17.25" customHeight="1" spans="2:25" x14ac:dyDescent="0.25">
      <c r="B64" s="39"/>
      <c r="C64" s="40"/>
      <c r="D64" s="41"/>
      <c r="E64" s="42"/>
      <c r="F64" s="43"/>
      <c r="G64" s="44"/>
      <c r="H64" s="45"/>
      <c r="I64" s="43"/>
      <c r="J64" s="40"/>
      <c r="K64" s="42"/>
      <c r="L64" s="42"/>
      <c r="M64" s="42"/>
      <c r="N64" s="42"/>
      <c r="O64" s="45"/>
      <c r="P64" s="45"/>
      <c r="Q64" s="43"/>
      <c r="R64" s="48"/>
      <c r="S64" s="42">
        <f>IF(R64="","",SUMIFS($E$5:$E$19984,$D$5:$D$19984,R64))</f>
      </c>
      <c r="T64" s="42">
        <f>IF(R64="","",SUMIFS($L$5:$L$19984,$K$5:$K$19984,R64))</f>
      </c>
      <c r="U64" s="42">
        <f t="shared" si="2"/>
      </c>
      <c r="V64" s="42"/>
      <c r="W64" s="42">
        <f t="shared" si="3"/>
      </c>
      <c r="X64" s="42"/>
      <c r="Y64" s="39"/>
    </row>
    <row r="65" ht="17.25" customHeight="1" spans="2:25" x14ac:dyDescent="0.25">
      <c r="B65" s="39"/>
      <c r="C65" s="40"/>
      <c r="D65" s="41"/>
      <c r="E65" s="42"/>
      <c r="F65" s="43"/>
      <c r="G65" s="44"/>
      <c r="H65" s="45"/>
      <c r="I65" s="43"/>
      <c r="J65" s="40"/>
      <c r="K65" s="42"/>
      <c r="L65" s="42"/>
      <c r="M65" s="42"/>
      <c r="N65" s="42"/>
      <c r="O65" s="45"/>
      <c r="P65" s="45"/>
      <c r="Q65" s="43"/>
      <c r="R65" s="48"/>
      <c r="S65" s="42">
        <f>IF(R65="","",SUMIFS($E$5:$E$19984,$D$5:$D$19984,R65))</f>
      </c>
      <c r="T65" s="42">
        <f>IF(R65="","",SUMIFS($L$5:$L$19984,$K$5:$K$19984,R65))</f>
      </c>
      <c r="U65" s="42">
        <f t="shared" si="2"/>
      </c>
      <c r="V65" s="42"/>
      <c r="W65" s="42">
        <f t="shared" si="3"/>
      </c>
      <c r="X65" s="42"/>
      <c r="Y65" s="39"/>
    </row>
    <row r="66" ht="17.25" customHeight="1" spans="2:25" x14ac:dyDescent="0.25">
      <c r="B66" s="39"/>
      <c r="C66" s="40"/>
      <c r="D66" s="41"/>
      <c r="E66" s="42"/>
      <c r="F66" s="43"/>
      <c r="G66" s="44"/>
      <c r="H66" s="45"/>
      <c r="I66" s="43"/>
      <c r="J66" s="40"/>
      <c r="K66" s="42"/>
      <c r="L66" s="42"/>
      <c r="M66" s="42"/>
      <c r="N66" s="42"/>
      <c r="O66" s="45"/>
      <c r="P66" s="45"/>
      <c r="Q66" s="43"/>
      <c r="R66" s="48"/>
      <c r="S66" s="42">
        <f>IF(R66="","",SUMIFS($E$5:$E$19984,$D$5:$D$19984,R66))</f>
      </c>
      <c r="T66" s="42">
        <f>IF(R66="","",SUMIFS($L$5:$L$19984,$K$5:$K$19984,R66))</f>
      </c>
      <c r="U66" s="42">
        <f t="shared" si="2"/>
      </c>
      <c r="V66" s="42"/>
      <c r="W66" s="42">
        <f t="shared" si="3"/>
      </c>
      <c r="X66" s="42"/>
      <c r="Y66" s="39"/>
    </row>
    <row r="67" ht="17.25" customHeight="1" spans="2:25" x14ac:dyDescent="0.25">
      <c r="B67" s="39"/>
      <c r="C67" s="40"/>
      <c r="D67" s="41"/>
      <c r="E67" s="42"/>
      <c r="F67" s="43"/>
      <c r="G67" s="44"/>
      <c r="H67" s="45"/>
      <c r="I67" s="43"/>
      <c r="J67" s="40"/>
      <c r="K67" s="42"/>
      <c r="L67" s="42"/>
      <c r="M67" s="42"/>
      <c r="N67" s="42"/>
      <c r="O67" s="45"/>
      <c r="P67" s="45"/>
      <c r="Q67" s="43"/>
      <c r="R67" s="48"/>
      <c r="S67" s="42">
        <f>IF(R67="","",SUMIFS($E$5:$E$19984,$D$5:$D$19984,R67))</f>
      </c>
      <c r="T67" s="42">
        <f>IF(R67="","",SUMIFS($L$5:$L$19984,$K$5:$K$19984,R67))</f>
      </c>
      <c r="U67" s="42">
        <f t="shared" si="2"/>
      </c>
      <c r="V67" s="42"/>
      <c r="W67" s="42">
        <f t="shared" si="3"/>
      </c>
      <c r="X67" s="42"/>
      <c r="Y67" s="39"/>
    </row>
    <row r="68" ht="17.25" customHeight="1" spans="2:25" x14ac:dyDescent="0.25">
      <c r="B68" s="39"/>
      <c r="C68" s="40"/>
      <c r="D68" s="41"/>
      <c r="E68" s="42"/>
      <c r="F68" s="43"/>
      <c r="G68" s="44"/>
      <c r="H68" s="45"/>
      <c r="I68" s="43"/>
      <c r="J68" s="40"/>
      <c r="K68" s="42"/>
      <c r="L68" s="42"/>
      <c r="M68" s="42"/>
      <c r="N68" s="42"/>
      <c r="O68" s="45"/>
      <c r="P68" s="45"/>
      <c r="Q68" s="43"/>
      <c r="R68" s="48"/>
      <c r="S68" s="42">
        <f>IF(R68="","",SUMIFS($E$5:$E$19984,$D$5:$D$19984,R68))</f>
      </c>
      <c r="T68" s="42">
        <f>IF(R68="","",SUMIFS($L$5:$L$19984,$K$5:$K$19984,R68))</f>
      </c>
      <c r="U68" s="42">
        <f t="shared" si="2"/>
      </c>
      <c r="V68" s="42"/>
      <c r="W68" s="42">
        <f t="shared" si="3"/>
      </c>
      <c r="X68" s="42"/>
      <c r="Y68" s="39"/>
    </row>
    <row r="69" ht="17.25" customHeight="1" spans="2:25" x14ac:dyDescent="0.25">
      <c r="B69" s="39"/>
      <c r="C69" s="40"/>
      <c r="D69" s="41"/>
      <c r="E69" s="42"/>
      <c r="F69" s="43"/>
      <c r="G69" s="44"/>
      <c r="H69" s="45"/>
      <c r="I69" s="43"/>
      <c r="J69" s="40"/>
      <c r="K69" s="42"/>
      <c r="L69" s="42"/>
      <c r="M69" s="42"/>
      <c r="N69" s="42"/>
      <c r="O69" s="45"/>
      <c r="P69" s="45"/>
      <c r="Q69" s="43"/>
      <c r="R69" s="48"/>
      <c r="S69" s="42">
        <f>IF(R69="","",SUMIFS($E$5:$E$19984,$D$5:$D$19984,R69))</f>
      </c>
      <c r="T69" s="42">
        <f>IF(R69="","",SUMIFS($L$5:$L$19984,$K$5:$K$19984,R69))</f>
      </c>
      <c r="U69" s="42">
        <f t="shared" ref="U69:U132" si="4">IF(R69="","",S69-T69)</f>
      </c>
      <c r="V69" s="42"/>
      <c r="W69" s="42">
        <f t="shared" ref="W69:W132" si="5">IF(R69="","",IF(U69&lt;=V69,"需补仓","安全"))</f>
      </c>
      <c r="X69" s="42"/>
      <c r="Y69" s="39"/>
    </row>
    <row r="70" ht="17.25" customHeight="1" spans="2:25" x14ac:dyDescent="0.25">
      <c r="B70" s="39"/>
      <c r="C70" s="40"/>
      <c r="D70" s="41"/>
      <c r="E70" s="42"/>
      <c r="F70" s="43"/>
      <c r="G70" s="44"/>
      <c r="H70" s="45"/>
      <c r="I70" s="43"/>
      <c r="J70" s="40"/>
      <c r="K70" s="42"/>
      <c r="L70" s="42"/>
      <c r="M70" s="42"/>
      <c r="N70" s="42"/>
      <c r="O70" s="45"/>
      <c r="P70" s="45"/>
      <c r="Q70" s="43"/>
      <c r="R70" s="48"/>
      <c r="S70" s="42">
        <f>IF(R70="","",SUMIFS($E$5:$E$19984,$D$5:$D$19984,R70))</f>
      </c>
      <c r="T70" s="42">
        <f>IF(R70="","",SUMIFS($L$5:$L$19984,$K$5:$K$19984,R70))</f>
      </c>
      <c r="U70" s="42">
        <f t="shared" si="4"/>
      </c>
      <c r="V70" s="42"/>
      <c r="W70" s="42">
        <f t="shared" si="5"/>
      </c>
      <c r="X70" s="42"/>
      <c r="Y70" s="39"/>
    </row>
    <row r="71" ht="17.25" customHeight="1" spans="2:25" x14ac:dyDescent="0.25">
      <c r="B71" s="39"/>
      <c r="C71" s="40"/>
      <c r="D71" s="41"/>
      <c r="E71" s="42"/>
      <c r="F71" s="43"/>
      <c r="G71" s="44"/>
      <c r="H71" s="45"/>
      <c r="I71" s="43"/>
      <c r="J71" s="40"/>
      <c r="K71" s="42"/>
      <c r="L71" s="42"/>
      <c r="M71" s="42"/>
      <c r="N71" s="42"/>
      <c r="O71" s="45"/>
      <c r="P71" s="45"/>
      <c r="Q71" s="43"/>
      <c r="R71" s="48"/>
      <c r="S71" s="42">
        <f>IF(R71="","",SUMIFS($E$5:$E$19984,$D$5:$D$19984,R71))</f>
      </c>
      <c r="T71" s="42">
        <f>IF(R71="","",SUMIFS($L$5:$L$19984,$K$5:$K$19984,R71))</f>
      </c>
      <c r="U71" s="42">
        <f t="shared" si="4"/>
      </c>
      <c r="V71" s="42"/>
      <c r="W71" s="42">
        <f t="shared" si="5"/>
      </c>
      <c r="X71" s="42"/>
      <c r="Y71" s="39"/>
    </row>
    <row r="72" ht="17.25" customHeight="1" spans="2:25" x14ac:dyDescent="0.25">
      <c r="B72" s="39"/>
      <c r="C72" s="40"/>
      <c r="D72" s="41"/>
      <c r="E72" s="42"/>
      <c r="F72" s="43"/>
      <c r="G72" s="44"/>
      <c r="H72" s="45"/>
      <c r="I72" s="43"/>
      <c r="J72" s="40"/>
      <c r="K72" s="42"/>
      <c r="L72" s="42"/>
      <c r="M72" s="42"/>
      <c r="N72" s="42"/>
      <c r="O72" s="45"/>
      <c r="P72" s="45"/>
      <c r="Q72" s="43"/>
      <c r="R72" s="48"/>
      <c r="S72" s="42">
        <f>IF(R72="","",SUMIFS($E$5:$E$19984,$D$5:$D$19984,R72))</f>
      </c>
      <c r="T72" s="42">
        <f>IF(R72="","",SUMIFS($L$5:$L$19984,$K$5:$K$19984,R72))</f>
      </c>
      <c r="U72" s="42">
        <f t="shared" si="4"/>
      </c>
      <c r="V72" s="42"/>
      <c r="W72" s="42">
        <f t="shared" si="5"/>
      </c>
      <c r="X72" s="42"/>
      <c r="Y72" s="39"/>
    </row>
    <row r="73" ht="17.25" customHeight="1" spans="2:25" x14ac:dyDescent="0.25">
      <c r="B73" s="39"/>
      <c r="C73" s="40"/>
      <c r="D73" s="41"/>
      <c r="E73" s="42"/>
      <c r="F73" s="43"/>
      <c r="G73" s="44"/>
      <c r="H73" s="45"/>
      <c r="I73" s="43"/>
      <c r="J73" s="40"/>
      <c r="K73" s="42"/>
      <c r="L73" s="42"/>
      <c r="M73" s="42"/>
      <c r="N73" s="42"/>
      <c r="O73" s="45"/>
      <c r="P73" s="45"/>
      <c r="Q73" s="43"/>
      <c r="R73" s="48"/>
      <c r="S73" s="42">
        <f>IF(R73="","",SUMIFS($E$5:$E$19984,$D$5:$D$19984,R73))</f>
      </c>
      <c r="T73" s="42">
        <f>IF(R73="","",SUMIFS($L$5:$L$19984,$K$5:$K$19984,R73))</f>
      </c>
      <c r="U73" s="42">
        <f t="shared" si="4"/>
      </c>
      <c r="V73" s="42"/>
      <c r="W73" s="42">
        <f t="shared" si="5"/>
      </c>
      <c r="X73" s="42"/>
      <c r="Y73" s="39"/>
    </row>
    <row r="74" ht="17.25" customHeight="1" spans="2:25" x14ac:dyDescent="0.25">
      <c r="B74" s="39"/>
      <c r="C74" s="40"/>
      <c r="D74" s="41"/>
      <c r="E74" s="42"/>
      <c r="F74" s="43"/>
      <c r="G74" s="44"/>
      <c r="H74" s="45"/>
      <c r="I74" s="43"/>
      <c r="J74" s="40"/>
      <c r="K74" s="42"/>
      <c r="L74" s="42"/>
      <c r="M74" s="42"/>
      <c r="N74" s="42"/>
      <c r="O74" s="45"/>
      <c r="P74" s="45"/>
      <c r="Q74" s="43"/>
      <c r="R74" s="48"/>
      <c r="S74" s="42">
        <f>IF(R74="","",SUMIFS($E$5:$E$19984,$D$5:$D$19984,R74))</f>
      </c>
      <c r="T74" s="42">
        <f>IF(R74="","",SUMIFS($L$5:$L$19984,$K$5:$K$19984,R74))</f>
      </c>
      <c r="U74" s="42">
        <f t="shared" si="4"/>
      </c>
      <c r="V74" s="42"/>
      <c r="W74" s="42">
        <f t="shared" si="5"/>
      </c>
      <c r="X74" s="42"/>
      <c r="Y74" s="39"/>
    </row>
    <row r="75" ht="17.25" customHeight="1" spans="2:25" x14ac:dyDescent="0.25">
      <c r="B75" s="39"/>
      <c r="C75" s="40"/>
      <c r="D75" s="41"/>
      <c r="E75" s="42"/>
      <c r="F75" s="43"/>
      <c r="G75" s="44"/>
      <c r="H75" s="45"/>
      <c r="I75" s="43"/>
      <c r="J75" s="40"/>
      <c r="K75" s="42"/>
      <c r="L75" s="42"/>
      <c r="M75" s="42"/>
      <c r="N75" s="42"/>
      <c r="O75" s="45"/>
      <c r="P75" s="45"/>
      <c r="Q75" s="43"/>
      <c r="R75" s="48"/>
      <c r="S75" s="42">
        <f>IF(R75="","",SUMIFS($E$5:$E$19984,$D$5:$D$19984,R75))</f>
      </c>
      <c r="T75" s="42">
        <f>IF(R75="","",SUMIFS($L$5:$L$19984,$K$5:$K$19984,R75))</f>
      </c>
      <c r="U75" s="42">
        <f t="shared" si="4"/>
      </c>
      <c r="V75" s="42"/>
      <c r="W75" s="42">
        <f t="shared" si="5"/>
      </c>
      <c r="X75" s="42"/>
      <c r="Y75" s="39"/>
    </row>
    <row r="76" ht="17.25" customHeight="1" spans="2:25" x14ac:dyDescent="0.25">
      <c r="B76" s="39"/>
      <c r="C76" s="40"/>
      <c r="D76" s="41"/>
      <c r="E76" s="42"/>
      <c r="F76" s="43"/>
      <c r="G76" s="44"/>
      <c r="H76" s="45"/>
      <c r="I76" s="43"/>
      <c r="J76" s="40"/>
      <c r="K76" s="42"/>
      <c r="L76" s="42"/>
      <c r="M76" s="42"/>
      <c r="N76" s="42"/>
      <c r="O76" s="45"/>
      <c r="P76" s="45"/>
      <c r="Q76" s="43"/>
      <c r="R76" s="48"/>
      <c r="S76" s="42">
        <f>IF(R76="","",SUMIFS($E$5:$E$19984,$D$5:$D$19984,R76))</f>
      </c>
      <c r="T76" s="42">
        <f>IF(R76="","",SUMIFS($L$5:$L$19984,$K$5:$K$19984,R76))</f>
      </c>
      <c r="U76" s="42">
        <f t="shared" si="4"/>
      </c>
      <c r="V76" s="42"/>
      <c r="W76" s="42">
        <f t="shared" si="5"/>
      </c>
      <c r="X76" s="42"/>
      <c r="Y76" s="39"/>
    </row>
    <row r="77" ht="17.25" customHeight="1" spans="2:25" x14ac:dyDescent="0.25">
      <c r="B77" s="39"/>
      <c r="C77" s="40"/>
      <c r="D77" s="41"/>
      <c r="E77" s="42"/>
      <c r="F77" s="43"/>
      <c r="G77" s="44"/>
      <c r="H77" s="45"/>
      <c r="I77" s="43"/>
      <c r="J77" s="40"/>
      <c r="K77" s="42"/>
      <c r="L77" s="42"/>
      <c r="M77" s="42"/>
      <c r="N77" s="42"/>
      <c r="O77" s="45"/>
      <c r="P77" s="45"/>
      <c r="Q77" s="43"/>
      <c r="R77" s="48"/>
      <c r="S77" s="42">
        <f>IF(R77="","",SUMIFS($E$5:$E$19984,$D$5:$D$19984,R77))</f>
      </c>
      <c r="T77" s="42">
        <f>IF(R77="","",SUMIFS($L$5:$L$19984,$K$5:$K$19984,R77))</f>
      </c>
      <c r="U77" s="42">
        <f t="shared" si="4"/>
      </c>
      <c r="V77" s="42"/>
      <c r="W77" s="42">
        <f t="shared" si="5"/>
      </c>
      <c r="X77" s="42"/>
      <c r="Y77" s="39"/>
    </row>
    <row r="78" ht="17.25" customHeight="1" spans="2:25" x14ac:dyDescent="0.25">
      <c r="B78" s="39"/>
      <c r="C78" s="40"/>
      <c r="D78" s="41"/>
      <c r="E78" s="42"/>
      <c r="F78" s="43"/>
      <c r="G78" s="44"/>
      <c r="H78" s="45"/>
      <c r="I78" s="43"/>
      <c r="J78" s="40"/>
      <c r="K78" s="42"/>
      <c r="L78" s="42"/>
      <c r="M78" s="42"/>
      <c r="N78" s="42"/>
      <c r="O78" s="45"/>
      <c r="P78" s="45"/>
      <c r="Q78" s="43"/>
      <c r="R78" s="48"/>
      <c r="S78" s="42">
        <f>IF(R78="","",SUMIFS($E$5:$E$19984,$D$5:$D$19984,R78))</f>
      </c>
      <c r="T78" s="42">
        <f>IF(R78="","",SUMIFS($L$5:$L$19984,$K$5:$K$19984,R78))</f>
      </c>
      <c r="U78" s="42">
        <f t="shared" si="4"/>
      </c>
      <c r="V78" s="42"/>
      <c r="W78" s="42">
        <f t="shared" si="5"/>
      </c>
      <c r="X78" s="42"/>
      <c r="Y78" s="39"/>
    </row>
    <row r="79" ht="17.25" customHeight="1" spans="2:25" x14ac:dyDescent="0.25">
      <c r="B79" s="39"/>
      <c r="C79" s="40"/>
      <c r="D79" s="41"/>
      <c r="E79" s="42"/>
      <c r="F79" s="43"/>
      <c r="G79" s="44"/>
      <c r="H79" s="45"/>
      <c r="I79" s="43"/>
      <c r="J79" s="40"/>
      <c r="K79" s="42"/>
      <c r="L79" s="42"/>
      <c r="M79" s="42"/>
      <c r="N79" s="42"/>
      <c r="O79" s="45"/>
      <c r="P79" s="45"/>
      <c r="Q79" s="43"/>
      <c r="R79" s="48"/>
      <c r="S79" s="42">
        <f>IF(R79="","",SUMIFS($E$5:$E$19984,$D$5:$D$19984,R79))</f>
      </c>
      <c r="T79" s="42">
        <f>IF(R79="","",SUMIFS($L$5:$L$19984,$K$5:$K$19984,R79))</f>
      </c>
      <c r="U79" s="42">
        <f t="shared" si="4"/>
      </c>
      <c r="V79" s="42"/>
      <c r="W79" s="42">
        <f t="shared" si="5"/>
      </c>
      <c r="X79" s="42"/>
      <c r="Y79" s="39"/>
    </row>
    <row r="80" ht="17.25" customHeight="1" spans="2:25" x14ac:dyDescent="0.25">
      <c r="B80" s="39"/>
      <c r="C80" s="40"/>
      <c r="D80" s="41"/>
      <c r="E80" s="42"/>
      <c r="F80" s="43"/>
      <c r="G80" s="44"/>
      <c r="H80" s="45"/>
      <c r="I80" s="43"/>
      <c r="J80" s="40"/>
      <c r="K80" s="42"/>
      <c r="L80" s="42"/>
      <c r="M80" s="42"/>
      <c r="N80" s="42"/>
      <c r="O80" s="45"/>
      <c r="P80" s="45"/>
      <c r="Q80" s="43"/>
      <c r="R80" s="48"/>
      <c r="S80" s="42">
        <f>IF(R80="","",SUMIFS($E$5:$E$19984,$D$5:$D$19984,R80))</f>
      </c>
      <c r="T80" s="42">
        <f>IF(R80="","",SUMIFS($L$5:$L$19984,$K$5:$K$19984,R80))</f>
      </c>
      <c r="U80" s="42">
        <f t="shared" si="4"/>
      </c>
      <c r="V80" s="42"/>
      <c r="W80" s="42">
        <f t="shared" si="5"/>
      </c>
      <c r="X80" s="42"/>
      <c r="Y80" s="39"/>
    </row>
    <row r="81" ht="17.25" customHeight="1" spans="2:25" x14ac:dyDescent="0.25">
      <c r="B81" s="39"/>
      <c r="C81" s="40"/>
      <c r="D81" s="41"/>
      <c r="E81" s="42"/>
      <c r="F81" s="43"/>
      <c r="G81" s="44"/>
      <c r="H81" s="45"/>
      <c r="I81" s="43"/>
      <c r="J81" s="40"/>
      <c r="K81" s="42"/>
      <c r="L81" s="42"/>
      <c r="M81" s="42"/>
      <c r="N81" s="42"/>
      <c r="O81" s="45"/>
      <c r="P81" s="45"/>
      <c r="Q81" s="43"/>
      <c r="R81" s="48"/>
      <c r="S81" s="42">
        <f>IF(R81="","",SUMIFS($E$5:$E$19984,$D$5:$D$19984,R81))</f>
      </c>
      <c r="T81" s="42">
        <f>IF(R81="","",SUMIFS($L$5:$L$19984,$K$5:$K$19984,R81))</f>
      </c>
      <c r="U81" s="42">
        <f t="shared" si="4"/>
      </c>
      <c r="V81" s="42"/>
      <c r="W81" s="42">
        <f t="shared" si="5"/>
      </c>
      <c r="X81" s="42"/>
      <c r="Y81" s="39"/>
    </row>
    <row r="82" ht="17.25" customHeight="1" spans="2:25" x14ac:dyDescent="0.25">
      <c r="B82" s="39"/>
      <c r="C82" s="40"/>
      <c r="D82" s="41"/>
      <c r="E82" s="42"/>
      <c r="F82" s="43"/>
      <c r="G82" s="44"/>
      <c r="H82" s="45"/>
      <c r="I82" s="43"/>
      <c r="J82" s="40"/>
      <c r="K82" s="42"/>
      <c r="L82" s="42"/>
      <c r="M82" s="42"/>
      <c r="N82" s="42"/>
      <c r="O82" s="45"/>
      <c r="P82" s="45"/>
      <c r="Q82" s="43"/>
      <c r="R82" s="48"/>
      <c r="S82" s="42">
        <f>IF(R82="","",SUMIFS($E$5:$E$19984,$D$5:$D$19984,R82))</f>
      </c>
      <c r="T82" s="42">
        <f>IF(R82="","",SUMIFS($L$5:$L$19984,$K$5:$K$19984,R82))</f>
      </c>
      <c r="U82" s="42">
        <f t="shared" si="4"/>
      </c>
      <c r="V82" s="42"/>
      <c r="W82" s="42">
        <f t="shared" si="5"/>
      </c>
      <c r="X82" s="42"/>
      <c r="Y82" s="39"/>
    </row>
    <row r="83" ht="17.25" customHeight="1" spans="2:25" x14ac:dyDescent="0.25">
      <c r="B83" s="39"/>
      <c r="C83" s="40"/>
      <c r="D83" s="41"/>
      <c r="E83" s="42"/>
      <c r="F83" s="43"/>
      <c r="G83" s="44"/>
      <c r="H83" s="45"/>
      <c r="I83" s="43"/>
      <c r="J83" s="40"/>
      <c r="K83" s="42"/>
      <c r="L83" s="42"/>
      <c r="M83" s="42"/>
      <c r="N83" s="42"/>
      <c r="O83" s="45"/>
      <c r="P83" s="45"/>
      <c r="Q83" s="43"/>
      <c r="R83" s="48"/>
      <c r="S83" s="42">
        <f>IF(R83="","",SUMIFS($E$5:$E$19984,$D$5:$D$19984,R83))</f>
      </c>
      <c r="T83" s="42">
        <f>IF(R83="","",SUMIFS($L$5:$L$19984,$K$5:$K$19984,R83))</f>
      </c>
      <c r="U83" s="42">
        <f t="shared" si="4"/>
      </c>
      <c r="V83" s="42"/>
      <c r="W83" s="42">
        <f t="shared" si="5"/>
      </c>
      <c r="X83" s="42"/>
      <c r="Y83" s="39"/>
    </row>
    <row r="84" ht="17.25" customHeight="1" spans="2:25" x14ac:dyDescent="0.25">
      <c r="B84" s="39"/>
      <c r="C84" s="40"/>
      <c r="D84" s="41"/>
      <c r="E84" s="42"/>
      <c r="F84" s="43"/>
      <c r="G84" s="44"/>
      <c r="H84" s="45"/>
      <c r="I84" s="43"/>
      <c r="J84" s="40"/>
      <c r="K84" s="42"/>
      <c r="L84" s="42"/>
      <c r="M84" s="42"/>
      <c r="N84" s="42"/>
      <c r="O84" s="45"/>
      <c r="P84" s="45"/>
      <c r="Q84" s="43"/>
      <c r="R84" s="48"/>
      <c r="S84" s="42">
        <f>IF(R84="","",SUMIFS($E$5:$E$19984,$D$5:$D$19984,R84))</f>
      </c>
      <c r="T84" s="42">
        <f>IF(R84="","",SUMIFS($L$5:$L$19984,$K$5:$K$19984,R84))</f>
      </c>
      <c r="U84" s="42">
        <f t="shared" si="4"/>
      </c>
      <c r="V84" s="42"/>
      <c r="W84" s="42">
        <f t="shared" si="5"/>
      </c>
      <c r="X84" s="42"/>
      <c r="Y84" s="39"/>
    </row>
    <row r="85" ht="17.25" customHeight="1" spans="2:25" x14ac:dyDescent="0.25">
      <c r="B85" s="39"/>
      <c r="C85" s="40"/>
      <c r="D85" s="41"/>
      <c r="E85" s="42"/>
      <c r="F85" s="43"/>
      <c r="G85" s="44"/>
      <c r="H85" s="45"/>
      <c r="I85" s="43"/>
      <c r="J85" s="40"/>
      <c r="K85" s="42"/>
      <c r="L85" s="42"/>
      <c r="M85" s="42"/>
      <c r="N85" s="42"/>
      <c r="O85" s="45"/>
      <c r="P85" s="45"/>
      <c r="Q85" s="43"/>
      <c r="R85" s="48"/>
      <c r="S85" s="42">
        <f>IF(R85="","",SUMIFS($E$5:$E$19984,$D$5:$D$19984,R85))</f>
      </c>
      <c r="T85" s="42">
        <f>IF(R85="","",SUMIFS($L$5:$L$19984,$K$5:$K$19984,R85))</f>
      </c>
      <c r="U85" s="42">
        <f t="shared" si="4"/>
      </c>
      <c r="V85" s="42"/>
      <c r="W85" s="42">
        <f t="shared" si="5"/>
      </c>
      <c r="X85" s="42"/>
      <c r="Y85" s="39"/>
    </row>
    <row r="86" ht="17.25" customHeight="1" spans="2:25" x14ac:dyDescent="0.25">
      <c r="B86" s="39"/>
      <c r="C86" s="40"/>
      <c r="D86" s="41"/>
      <c r="E86" s="42"/>
      <c r="F86" s="43"/>
      <c r="G86" s="44"/>
      <c r="H86" s="45"/>
      <c r="I86" s="43"/>
      <c r="J86" s="40"/>
      <c r="K86" s="42"/>
      <c r="L86" s="42"/>
      <c r="M86" s="42"/>
      <c r="N86" s="42"/>
      <c r="O86" s="45"/>
      <c r="P86" s="45"/>
      <c r="Q86" s="43"/>
      <c r="R86" s="48"/>
      <c r="S86" s="42">
        <f>IF(R86="","",SUMIFS($E$5:$E$19984,$D$5:$D$19984,R86))</f>
      </c>
      <c r="T86" s="42">
        <f>IF(R86="","",SUMIFS($L$5:$L$19984,$K$5:$K$19984,R86))</f>
      </c>
      <c r="U86" s="42">
        <f t="shared" si="4"/>
      </c>
      <c r="V86" s="42"/>
      <c r="W86" s="42">
        <f t="shared" si="5"/>
      </c>
      <c r="X86" s="42"/>
      <c r="Y86" s="39"/>
    </row>
    <row r="87" ht="17.25" customHeight="1" spans="2:25" x14ac:dyDescent="0.25">
      <c r="B87" s="39"/>
      <c r="C87" s="40"/>
      <c r="D87" s="41"/>
      <c r="E87" s="42"/>
      <c r="F87" s="43"/>
      <c r="G87" s="44"/>
      <c r="H87" s="45"/>
      <c r="I87" s="43"/>
      <c r="J87" s="40"/>
      <c r="K87" s="42"/>
      <c r="L87" s="42"/>
      <c r="M87" s="42"/>
      <c r="N87" s="42"/>
      <c r="O87" s="45"/>
      <c r="P87" s="45"/>
      <c r="Q87" s="43"/>
      <c r="R87" s="48"/>
      <c r="S87" s="42">
        <f>IF(R87="","",SUMIFS($E$5:$E$19984,$D$5:$D$19984,R87))</f>
      </c>
      <c r="T87" s="42">
        <f>IF(R87="","",SUMIFS($L$5:$L$19984,$K$5:$K$19984,R87))</f>
      </c>
      <c r="U87" s="42">
        <f t="shared" si="4"/>
      </c>
      <c r="V87" s="42"/>
      <c r="W87" s="42">
        <f t="shared" si="5"/>
      </c>
      <c r="X87" s="42"/>
      <c r="Y87" s="39"/>
    </row>
    <row r="88" ht="17.25" customHeight="1" spans="2:25" x14ac:dyDescent="0.25">
      <c r="B88" s="39"/>
      <c r="C88" s="40"/>
      <c r="D88" s="41"/>
      <c r="E88" s="42"/>
      <c r="F88" s="43"/>
      <c r="G88" s="44"/>
      <c r="H88" s="45"/>
      <c r="I88" s="43"/>
      <c r="J88" s="40"/>
      <c r="K88" s="42"/>
      <c r="L88" s="42"/>
      <c r="M88" s="42"/>
      <c r="N88" s="42"/>
      <c r="O88" s="45"/>
      <c r="P88" s="45"/>
      <c r="Q88" s="43"/>
      <c r="R88" s="48"/>
      <c r="S88" s="42">
        <f>IF(R88="","",SUMIFS($E$5:$E$19984,$D$5:$D$19984,R88))</f>
      </c>
      <c r="T88" s="42">
        <f>IF(R88="","",SUMIFS($L$5:$L$19984,$K$5:$K$19984,R88))</f>
      </c>
      <c r="U88" s="42">
        <f t="shared" si="4"/>
      </c>
      <c r="V88" s="42"/>
      <c r="W88" s="42">
        <f t="shared" si="5"/>
      </c>
      <c r="X88" s="42"/>
      <c r="Y88" s="39"/>
    </row>
    <row r="89" ht="17.25" customHeight="1" spans="2:25" x14ac:dyDescent="0.25">
      <c r="B89" s="39"/>
      <c r="C89" s="40"/>
      <c r="D89" s="41"/>
      <c r="E89" s="42"/>
      <c r="F89" s="43"/>
      <c r="G89" s="44"/>
      <c r="H89" s="45"/>
      <c r="I89" s="43"/>
      <c r="J89" s="40"/>
      <c r="K89" s="42"/>
      <c r="L89" s="42"/>
      <c r="M89" s="42"/>
      <c r="N89" s="42"/>
      <c r="O89" s="45"/>
      <c r="P89" s="45"/>
      <c r="Q89" s="43"/>
      <c r="R89" s="48"/>
      <c r="S89" s="42">
        <f>IF(R89="","",SUMIFS($E$5:$E$19984,$D$5:$D$19984,R89))</f>
      </c>
      <c r="T89" s="42">
        <f>IF(R89="","",SUMIFS($L$5:$L$19984,$K$5:$K$19984,R89))</f>
      </c>
      <c r="U89" s="42">
        <f t="shared" si="4"/>
      </c>
      <c r="V89" s="42"/>
      <c r="W89" s="42">
        <f t="shared" si="5"/>
      </c>
      <c r="X89" s="42"/>
      <c r="Y89" s="39"/>
    </row>
    <row r="90" ht="17.25" customHeight="1" spans="2:25" x14ac:dyDescent="0.25">
      <c r="B90" s="39"/>
      <c r="C90" s="40"/>
      <c r="D90" s="41"/>
      <c r="E90" s="42"/>
      <c r="F90" s="43"/>
      <c r="G90" s="44"/>
      <c r="H90" s="45"/>
      <c r="I90" s="43"/>
      <c r="J90" s="40"/>
      <c r="K90" s="42"/>
      <c r="L90" s="42"/>
      <c r="M90" s="42"/>
      <c r="N90" s="42"/>
      <c r="O90" s="45"/>
      <c r="P90" s="45"/>
      <c r="Q90" s="43"/>
      <c r="R90" s="48"/>
      <c r="S90" s="42">
        <f>IF(R90="","",SUMIFS($E$5:$E$19984,$D$5:$D$19984,R90))</f>
      </c>
      <c r="T90" s="42">
        <f>IF(R90="","",SUMIFS($L$5:$L$19984,$K$5:$K$19984,R90))</f>
      </c>
      <c r="U90" s="42">
        <f t="shared" si="4"/>
      </c>
      <c r="V90" s="42"/>
      <c r="W90" s="42">
        <f t="shared" si="5"/>
      </c>
      <c r="X90" s="42"/>
      <c r="Y90" s="39"/>
    </row>
    <row r="91" ht="17.25" customHeight="1" spans="2:25" x14ac:dyDescent="0.25">
      <c r="B91" s="39"/>
      <c r="C91" s="40"/>
      <c r="D91" s="41"/>
      <c r="E91" s="42"/>
      <c r="F91" s="43"/>
      <c r="G91" s="44"/>
      <c r="H91" s="45"/>
      <c r="I91" s="43"/>
      <c r="J91" s="40"/>
      <c r="K91" s="42"/>
      <c r="L91" s="42"/>
      <c r="M91" s="42"/>
      <c r="N91" s="42"/>
      <c r="O91" s="45"/>
      <c r="P91" s="45"/>
      <c r="Q91" s="43"/>
      <c r="R91" s="48"/>
      <c r="S91" s="42">
        <f>IF(R91="","",SUMIFS($E$5:$E$19984,$D$5:$D$19984,R91))</f>
      </c>
      <c r="T91" s="42">
        <f>IF(R91="","",SUMIFS($L$5:$L$19984,$K$5:$K$19984,R91))</f>
      </c>
      <c r="U91" s="42">
        <f t="shared" si="4"/>
      </c>
      <c r="V91" s="42"/>
      <c r="W91" s="42">
        <f t="shared" si="5"/>
      </c>
      <c r="X91" s="42"/>
      <c r="Y91" s="39"/>
    </row>
    <row r="92" ht="17.25" customHeight="1" spans="2:25" x14ac:dyDescent="0.25">
      <c r="B92" s="39"/>
      <c r="C92" s="40"/>
      <c r="D92" s="41"/>
      <c r="E92" s="42"/>
      <c r="F92" s="43"/>
      <c r="G92" s="44"/>
      <c r="H92" s="45"/>
      <c r="I92" s="43"/>
      <c r="J92" s="40"/>
      <c r="K92" s="42"/>
      <c r="L92" s="42"/>
      <c r="M92" s="42"/>
      <c r="N92" s="42"/>
      <c r="O92" s="45"/>
      <c r="P92" s="45"/>
      <c r="Q92" s="43"/>
      <c r="R92" s="48"/>
      <c r="S92" s="42">
        <f>IF(R92="","",SUMIFS($E$5:$E$19984,$D$5:$D$19984,R92))</f>
      </c>
      <c r="T92" s="42">
        <f>IF(R92="","",SUMIFS($L$5:$L$19984,$K$5:$K$19984,R92))</f>
      </c>
      <c r="U92" s="42">
        <f t="shared" si="4"/>
      </c>
      <c r="V92" s="42"/>
      <c r="W92" s="42">
        <f t="shared" si="5"/>
      </c>
      <c r="X92" s="42"/>
      <c r="Y92" s="39"/>
    </row>
    <row r="93" ht="17.25" customHeight="1" spans="2:25" x14ac:dyDescent="0.25">
      <c r="B93" s="39"/>
      <c r="C93" s="40"/>
      <c r="D93" s="41"/>
      <c r="E93" s="42"/>
      <c r="F93" s="43"/>
      <c r="G93" s="44"/>
      <c r="H93" s="45"/>
      <c r="I93" s="43"/>
      <c r="J93" s="40"/>
      <c r="K93" s="42"/>
      <c r="L93" s="42"/>
      <c r="M93" s="42"/>
      <c r="N93" s="42"/>
      <c r="O93" s="45"/>
      <c r="P93" s="45"/>
      <c r="Q93" s="43"/>
      <c r="R93" s="48"/>
      <c r="S93" s="42">
        <f>IF(R93="","",SUMIFS($E$5:$E$19984,$D$5:$D$19984,R93))</f>
      </c>
      <c r="T93" s="42">
        <f>IF(R93="","",SUMIFS($L$5:$L$19984,$K$5:$K$19984,R93))</f>
      </c>
      <c r="U93" s="42">
        <f t="shared" si="4"/>
      </c>
      <c r="V93" s="42"/>
      <c r="W93" s="42">
        <f t="shared" si="5"/>
      </c>
      <c r="X93" s="42"/>
      <c r="Y93" s="39"/>
    </row>
    <row r="94" ht="17.25" customHeight="1" spans="2:25" x14ac:dyDescent="0.25">
      <c r="B94" s="39"/>
      <c r="C94" s="40"/>
      <c r="D94" s="41"/>
      <c r="E94" s="42"/>
      <c r="F94" s="43"/>
      <c r="G94" s="44"/>
      <c r="H94" s="45"/>
      <c r="I94" s="43"/>
      <c r="J94" s="40"/>
      <c r="K94" s="42"/>
      <c r="L94" s="42"/>
      <c r="M94" s="42"/>
      <c r="N94" s="42"/>
      <c r="O94" s="45"/>
      <c r="P94" s="45"/>
      <c r="Q94" s="43"/>
      <c r="R94" s="48"/>
      <c r="S94" s="42">
        <f>IF(R94="","",SUMIFS($E$5:$E$19984,$D$5:$D$19984,R94))</f>
      </c>
      <c r="T94" s="42">
        <f>IF(R94="","",SUMIFS($L$5:$L$19984,$K$5:$K$19984,R94))</f>
      </c>
      <c r="U94" s="42">
        <f t="shared" si="4"/>
      </c>
      <c r="V94" s="42"/>
      <c r="W94" s="42">
        <f t="shared" si="5"/>
      </c>
      <c r="X94" s="42"/>
      <c r="Y94" s="39"/>
    </row>
    <row r="95" ht="17.25" customHeight="1" spans="2:25" x14ac:dyDescent="0.25">
      <c r="B95" s="39"/>
      <c r="C95" s="40"/>
      <c r="D95" s="41"/>
      <c r="E95" s="42"/>
      <c r="F95" s="43"/>
      <c r="G95" s="44"/>
      <c r="H95" s="45"/>
      <c r="I95" s="43"/>
      <c r="J95" s="40"/>
      <c r="K95" s="42"/>
      <c r="L95" s="42"/>
      <c r="M95" s="42"/>
      <c r="N95" s="42"/>
      <c r="O95" s="45"/>
      <c r="P95" s="45"/>
      <c r="Q95" s="43"/>
      <c r="R95" s="48"/>
      <c r="S95" s="42">
        <f>IF(R95="","",SUMIFS($E$5:$E$19984,$D$5:$D$19984,R95))</f>
      </c>
      <c r="T95" s="42">
        <f>IF(R95="","",SUMIFS($L$5:$L$19984,$K$5:$K$19984,R95))</f>
      </c>
      <c r="U95" s="42">
        <f t="shared" si="4"/>
      </c>
      <c r="V95" s="42"/>
      <c r="W95" s="42">
        <f t="shared" si="5"/>
      </c>
      <c r="X95" s="42"/>
      <c r="Y95" s="39"/>
    </row>
    <row r="96" ht="17.25" customHeight="1" spans="2:25" x14ac:dyDescent="0.25">
      <c r="B96" s="39"/>
      <c r="C96" s="40"/>
      <c r="D96" s="41"/>
      <c r="E96" s="42"/>
      <c r="F96" s="43"/>
      <c r="G96" s="44"/>
      <c r="H96" s="45"/>
      <c r="I96" s="43"/>
      <c r="J96" s="40"/>
      <c r="K96" s="42"/>
      <c r="L96" s="42"/>
      <c r="M96" s="42"/>
      <c r="N96" s="42"/>
      <c r="O96" s="45"/>
      <c r="P96" s="45"/>
      <c r="Q96" s="43"/>
      <c r="R96" s="48"/>
      <c r="S96" s="42">
        <f>IF(R96="","",SUMIFS($E$5:$E$19984,$D$5:$D$19984,R96))</f>
      </c>
      <c r="T96" s="42">
        <f>IF(R96="","",SUMIFS($L$5:$L$19984,$K$5:$K$19984,R96))</f>
      </c>
      <c r="U96" s="42">
        <f t="shared" si="4"/>
      </c>
      <c r="V96" s="42"/>
      <c r="W96" s="42">
        <f t="shared" si="5"/>
      </c>
      <c r="X96" s="42"/>
      <c r="Y96" s="39"/>
    </row>
    <row r="97" ht="17.25" customHeight="1" spans="2:25" x14ac:dyDescent="0.25">
      <c r="B97" s="39"/>
      <c r="C97" s="40"/>
      <c r="D97" s="41"/>
      <c r="E97" s="42"/>
      <c r="F97" s="43"/>
      <c r="G97" s="44"/>
      <c r="H97" s="45"/>
      <c r="I97" s="43"/>
      <c r="J97" s="40"/>
      <c r="K97" s="42"/>
      <c r="L97" s="42"/>
      <c r="M97" s="42"/>
      <c r="N97" s="42"/>
      <c r="O97" s="45"/>
      <c r="P97" s="45"/>
      <c r="Q97" s="43"/>
      <c r="R97" s="48"/>
      <c r="S97" s="42">
        <f>IF(R97="","",SUMIFS($E$5:$E$19984,$D$5:$D$19984,R97))</f>
      </c>
      <c r="T97" s="42">
        <f>IF(R97="","",SUMIFS($L$5:$L$19984,$K$5:$K$19984,R97))</f>
      </c>
      <c r="U97" s="42">
        <f t="shared" si="4"/>
      </c>
      <c r="V97" s="42"/>
      <c r="W97" s="42">
        <f t="shared" si="5"/>
      </c>
      <c r="X97" s="42"/>
      <c r="Y97" s="39"/>
    </row>
    <row r="98" ht="17.25" customHeight="1" spans="2:25" x14ac:dyDescent="0.25">
      <c r="B98" s="39"/>
      <c r="C98" s="40"/>
      <c r="D98" s="41"/>
      <c r="E98" s="42"/>
      <c r="F98" s="43"/>
      <c r="G98" s="44"/>
      <c r="H98" s="45"/>
      <c r="I98" s="43"/>
      <c r="J98" s="40"/>
      <c r="K98" s="42"/>
      <c r="L98" s="42"/>
      <c r="M98" s="42"/>
      <c r="N98" s="42"/>
      <c r="O98" s="45"/>
      <c r="P98" s="45"/>
      <c r="Q98" s="43"/>
      <c r="R98" s="48"/>
      <c r="S98" s="42">
        <f>IF(R98="","",SUMIFS($E$5:$E$19984,$D$5:$D$19984,R98))</f>
      </c>
      <c r="T98" s="42">
        <f>IF(R98="","",SUMIFS($L$5:$L$19984,$K$5:$K$19984,R98))</f>
      </c>
      <c r="U98" s="42">
        <f t="shared" si="4"/>
      </c>
      <c r="V98" s="42"/>
      <c r="W98" s="42">
        <f t="shared" si="5"/>
      </c>
      <c r="X98" s="42"/>
      <c r="Y98" s="39"/>
    </row>
    <row r="99" ht="17.25" customHeight="1" spans="2:25" x14ac:dyDescent="0.25">
      <c r="B99" s="39"/>
      <c r="C99" s="40"/>
      <c r="D99" s="41"/>
      <c r="E99" s="42"/>
      <c r="F99" s="43"/>
      <c r="G99" s="44"/>
      <c r="H99" s="45"/>
      <c r="I99" s="43"/>
      <c r="J99" s="40"/>
      <c r="K99" s="42"/>
      <c r="L99" s="42"/>
      <c r="M99" s="42"/>
      <c r="N99" s="42"/>
      <c r="O99" s="45"/>
      <c r="P99" s="45"/>
      <c r="Q99" s="43"/>
      <c r="R99" s="48"/>
      <c r="S99" s="42">
        <f>IF(R99="","",SUMIFS($E$5:$E$19984,$D$5:$D$19984,R99))</f>
      </c>
      <c r="T99" s="42">
        <f>IF(R99="","",SUMIFS($L$5:$L$19984,$K$5:$K$19984,R99))</f>
      </c>
      <c r="U99" s="42">
        <f t="shared" si="4"/>
      </c>
      <c r="V99" s="42"/>
      <c r="W99" s="42">
        <f t="shared" si="5"/>
      </c>
      <c r="X99" s="42"/>
      <c r="Y99" s="39"/>
    </row>
    <row r="100" ht="17.25" customHeight="1" spans="2:25" x14ac:dyDescent="0.25">
      <c r="B100" s="39"/>
      <c r="C100" s="40"/>
      <c r="D100" s="41"/>
      <c r="E100" s="42"/>
      <c r="F100" s="43"/>
      <c r="G100" s="44"/>
      <c r="H100" s="45"/>
      <c r="I100" s="43"/>
      <c r="J100" s="40"/>
      <c r="K100" s="42"/>
      <c r="L100" s="42"/>
      <c r="M100" s="42"/>
      <c r="N100" s="42"/>
      <c r="O100" s="45"/>
      <c r="P100" s="45"/>
      <c r="Q100" s="43"/>
      <c r="R100" s="48"/>
      <c r="S100" s="42">
        <f>IF(R100="","",SUMIFS($E$5:$E$19984,$D$5:$D$19984,R100))</f>
      </c>
      <c r="T100" s="42">
        <f>IF(R100="","",SUMIFS($L$5:$L$19984,$K$5:$K$19984,R100))</f>
      </c>
      <c r="U100" s="42">
        <f t="shared" si="4"/>
      </c>
      <c r="V100" s="42"/>
      <c r="W100" s="42">
        <f t="shared" si="5"/>
      </c>
      <c r="X100" s="42"/>
      <c r="Y100" s="39"/>
    </row>
    <row r="101" ht="17.25" customHeight="1" spans="2:25" x14ac:dyDescent="0.25">
      <c r="B101" s="39"/>
      <c r="C101" s="40"/>
      <c r="D101" s="41"/>
      <c r="E101" s="42"/>
      <c r="F101" s="43"/>
      <c r="G101" s="44"/>
      <c r="H101" s="45"/>
      <c r="I101" s="43"/>
      <c r="J101" s="40"/>
      <c r="K101" s="42"/>
      <c r="L101" s="42"/>
      <c r="M101" s="42"/>
      <c r="N101" s="42"/>
      <c r="O101" s="45"/>
      <c r="P101" s="45"/>
      <c r="Q101" s="43"/>
      <c r="R101" s="48"/>
      <c r="S101" s="42">
        <f>IF(R101="","",SUMIFS($E$5:$E$19984,$D$5:$D$19984,R101))</f>
      </c>
      <c r="T101" s="42">
        <f>IF(R101="","",SUMIFS($L$5:$L$19984,$K$5:$K$19984,R101))</f>
      </c>
      <c r="U101" s="42">
        <f t="shared" si="4"/>
      </c>
      <c r="V101" s="42"/>
      <c r="W101" s="42">
        <f t="shared" si="5"/>
      </c>
      <c r="X101" s="42"/>
      <c r="Y101" s="39"/>
    </row>
    <row r="102" ht="17.25" customHeight="1" spans="2:25" x14ac:dyDescent="0.25">
      <c r="B102" s="39"/>
      <c r="C102" s="40"/>
      <c r="D102" s="41"/>
      <c r="E102" s="42"/>
      <c r="F102" s="43"/>
      <c r="G102" s="44"/>
      <c r="H102" s="45"/>
      <c r="I102" s="43"/>
      <c r="J102" s="40"/>
      <c r="K102" s="42"/>
      <c r="L102" s="42"/>
      <c r="M102" s="42"/>
      <c r="N102" s="42"/>
      <c r="O102" s="45"/>
      <c r="P102" s="45"/>
      <c r="Q102" s="43"/>
      <c r="R102" s="48"/>
      <c r="S102" s="42">
        <f>IF(R102="","",SUMIFS($E$5:$E$19984,$D$5:$D$19984,R102))</f>
      </c>
      <c r="T102" s="42">
        <f>IF(R102="","",SUMIFS($L$5:$L$19984,$K$5:$K$19984,R102))</f>
      </c>
      <c r="U102" s="42">
        <f t="shared" si="4"/>
      </c>
      <c r="V102" s="42"/>
      <c r="W102" s="42">
        <f t="shared" si="5"/>
      </c>
      <c r="X102" s="42"/>
      <c r="Y102" s="39"/>
    </row>
    <row r="103" ht="17.25" customHeight="1" spans="2:25" x14ac:dyDescent="0.25">
      <c r="B103" s="39"/>
      <c r="C103" s="40"/>
      <c r="D103" s="41"/>
      <c r="E103" s="42"/>
      <c r="F103" s="43"/>
      <c r="G103" s="44"/>
      <c r="H103" s="45"/>
      <c r="I103" s="43"/>
      <c r="J103" s="40"/>
      <c r="K103" s="42"/>
      <c r="L103" s="42"/>
      <c r="M103" s="42"/>
      <c r="N103" s="42"/>
      <c r="O103" s="45"/>
      <c r="P103" s="45"/>
      <c r="Q103" s="43"/>
      <c r="R103" s="48"/>
      <c r="S103" s="42">
        <f>IF(R103="","",SUMIFS($E$5:$E$19984,$D$5:$D$19984,R103))</f>
      </c>
      <c r="T103" s="42">
        <f>IF(R103="","",SUMIFS($L$5:$L$19984,$K$5:$K$19984,R103))</f>
      </c>
      <c r="U103" s="42">
        <f t="shared" si="4"/>
      </c>
      <c r="V103" s="42"/>
      <c r="W103" s="42">
        <f t="shared" si="5"/>
      </c>
      <c r="X103" s="42"/>
      <c r="Y103" s="39"/>
    </row>
    <row r="104" ht="17.25" customHeight="1" spans="2:25" x14ac:dyDescent="0.25">
      <c r="B104" s="39"/>
      <c r="C104" s="40"/>
      <c r="D104" s="41"/>
      <c r="E104" s="42"/>
      <c r="F104" s="43"/>
      <c r="G104" s="44"/>
      <c r="H104" s="45"/>
      <c r="I104" s="43"/>
      <c r="J104" s="40"/>
      <c r="K104" s="42"/>
      <c r="L104" s="42"/>
      <c r="M104" s="42"/>
      <c r="N104" s="42"/>
      <c r="O104" s="45"/>
      <c r="P104" s="45"/>
      <c r="Q104" s="43"/>
      <c r="R104" s="48"/>
      <c r="S104" s="42">
        <f>IF(R104="","",SUMIFS($E$5:$E$19984,$D$5:$D$19984,R104))</f>
      </c>
      <c r="T104" s="42">
        <f>IF(R104="","",SUMIFS($L$5:$L$19984,$K$5:$K$19984,R104))</f>
      </c>
      <c r="U104" s="42">
        <f t="shared" si="4"/>
      </c>
      <c r="V104" s="42"/>
      <c r="W104" s="42">
        <f t="shared" si="5"/>
      </c>
      <c r="X104" s="42"/>
      <c r="Y104" s="39"/>
    </row>
    <row r="105" ht="17.25" customHeight="1" spans="2:25" x14ac:dyDescent="0.25">
      <c r="B105" s="39"/>
      <c r="C105" s="40"/>
      <c r="D105" s="41"/>
      <c r="E105" s="42"/>
      <c r="F105" s="43"/>
      <c r="G105" s="44"/>
      <c r="H105" s="45"/>
      <c r="I105" s="43"/>
      <c r="J105" s="40"/>
      <c r="K105" s="42"/>
      <c r="L105" s="42"/>
      <c r="M105" s="42"/>
      <c r="N105" s="42"/>
      <c r="O105" s="45"/>
      <c r="P105" s="45"/>
      <c r="Q105" s="43"/>
      <c r="R105" s="48"/>
      <c r="S105" s="42">
        <f>IF(R105="","",SUMIFS($E$5:$E$19984,$D$5:$D$19984,R105))</f>
      </c>
      <c r="T105" s="42">
        <f>IF(R105="","",SUMIFS($L$5:$L$19984,$K$5:$K$19984,R105))</f>
      </c>
      <c r="U105" s="42">
        <f t="shared" si="4"/>
      </c>
      <c r="V105" s="42"/>
      <c r="W105" s="42">
        <f t="shared" si="5"/>
      </c>
      <c r="X105" s="42"/>
      <c r="Y105" s="39"/>
    </row>
    <row r="106" ht="17.25" customHeight="1" spans="2:25" x14ac:dyDescent="0.25">
      <c r="B106" s="39"/>
      <c r="C106" s="40"/>
      <c r="D106" s="41"/>
      <c r="E106" s="42"/>
      <c r="F106" s="43"/>
      <c r="G106" s="44"/>
      <c r="H106" s="45"/>
      <c r="I106" s="43"/>
      <c r="J106" s="40"/>
      <c r="K106" s="42"/>
      <c r="L106" s="42"/>
      <c r="M106" s="42"/>
      <c r="N106" s="42"/>
      <c r="O106" s="45"/>
      <c r="P106" s="45"/>
      <c r="Q106" s="43"/>
      <c r="R106" s="48"/>
      <c r="S106" s="42">
        <f>IF(R106="","",SUMIFS($E$5:$E$19984,$D$5:$D$19984,R106))</f>
      </c>
      <c r="T106" s="42">
        <f>IF(R106="","",SUMIFS($L$5:$L$19984,$K$5:$K$19984,R106))</f>
      </c>
      <c r="U106" s="42">
        <f t="shared" si="4"/>
      </c>
      <c r="V106" s="42"/>
      <c r="W106" s="42">
        <f t="shared" si="5"/>
      </c>
      <c r="X106" s="42"/>
      <c r="Y106" s="39"/>
    </row>
    <row r="107" ht="17.25" customHeight="1" spans="2:25" x14ac:dyDescent="0.25">
      <c r="B107" s="39"/>
      <c r="C107" s="40"/>
      <c r="D107" s="41"/>
      <c r="E107" s="42"/>
      <c r="F107" s="43"/>
      <c r="G107" s="44"/>
      <c r="H107" s="45"/>
      <c r="I107" s="43"/>
      <c r="J107" s="40"/>
      <c r="K107" s="42"/>
      <c r="L107" s="42"/>
      <c r="M107" s="42"/>
      <c r="N107" s="42"/>
      <c r="O107" s="45"/>
      <c r="P107" s="45"/>
      <c r="Q107" s="43"/>
      <c r="R107" s="48"/>
      <c r="S107" s="42">
        <f>IF(R107="","",SUMIFS($E$5:$E$19984,$D$5:$D$19984,R107))</f>
      </c>
      <c r="T107" s="42">
        <f>IF(R107="","",SUMIFS($L$5:$L$19984,$K$5:$K$19984,R107))</f>
      </c>
      <c r="U107" s="42">
        <f t="shared" si="4"/>
      </c>
      <c r="V107" s="42"/>
      <c r="W107" s="42">
        <f t="shared" si="5"/>
      </c>
      <c r="X107" s="42"/>
      <c r="Y107" s="39"/>
    </row>
    <row r="108" ht="17.25" customHeight="1" spans="2:25" x14ac:dyDescent="0.25">
      <c r="B108" s="39"/>
      <c r="C108" s="40"/>
      <c r="D108" s="41"/>
      <c r="E108" s="42"/>
      <c r="F108" s="43"/>
      <c r="G108" s="44"/>
      <c r="H108" s="45"/>
      <c r="I108" s="43"/>
      <c r="J108" s="40"/>
      <c r="K108" s="42"/>
      <c r="L108" s="42"/>
      <c r="M108" s="42"/>
      <c r="N108" s="42"/>
      <c r="O108" s="45"/>
      <c r="P108" s="45"/>
      <c r="Q108" s="43"/>
      <c r="R108" s="48"/>
      <c r="S108" s="42">
        <f>IF(R108="","",SUMIFS($E$5:$E$19984,$D$5:$D$19984,R108))</f>
      </c>
      <c r="T108" s="42">
        <f>IF(R108="","",SUMIFS($L$5:$L$19984,$K$5:$K$19984,R108))</f>
      </c>
      <c r="U108" s="42">
        <f t="shared" si="4"/>
      </c>
      <c r="V108" s="42"/>
      <c r="W108" s="42">
        <f t="shared" si="5"/>
      </c>
      <c r="X108" s="42"/>
      <c r="Y108" s="39"/>
    </row>
    <row r="109" ht="17.25" customHeight="1" spans="3:25" x14ac:dyDescent="0.25">
      <c r="C109" s="40"/>
      <c r="D109" s="41"/>
      <c r="E109" s="42"/>
      <c r="F109" s="43"/>
      <c r="G109" s="44"/>
      <c r="H109" s="45"/>
      <c r="I109" s="43"/>
      <c r="J109" s="40"/>
      <c r="K109" s="42"/>
      <c r="L109" s="42"/>
      <c r="M109" s="42"/>
      <c r="N109" s="42"/>
      <c r="O109" s="45"/>
      <c r="P109" s="45"/>
      <c r="Q109" s="43"/>
      <c r="R109" s="48"/>
      <c r="S109" s="42">
        <f>IF(R109="","",SUMIFS($E$5:$E$19984,$D$5:$D$19984,R109))</f>
      </c>
      <c r="T109" s="42">
        <f>IF(R109="","",SUMIFS($L$5:$L$19984,$K$5:$K$19984,R109))</f>
      </c>
      <c r="U109" s="42">
        <f t="shared" si="4"/>
      </c>
      <c r="V109" s="42"/>
      <c r="W109" s="42">
        <f t="shared" si="5"/>
      </c>
      <c r="X109" s="42"/>
      <c r="Y109" s="39"/>
    </row>
    <row r="110" ht="17.25" customHeight="1" spans="3:25" x14ac:dyDescent="0.25">
      <c r="C110" s="40"/>
      <c r="D110" s="41"/>
      <c r="E110" s="42"/>
      <c r="F110" s="43"/>
      <c r="G110" s="44"/>
      <c r="H110" s="45"/>
      <c r="I110" s="43"/>
      <c r="J110" s="40"/>
      <c r="K110" s="42"/>
      <c r="L110" s="42"/>
      <c r="M110" s="42"/>
      <c r="N110" s="42"/>
      <c r="O110" s="45"/>
      <c r="P110" s="45"/>
      <c r="Q110" s="43"/>
      <c r="R110" s="48"/>
      <c r="S110" s="42">
        <f>IF(R110="","",SUMIFS($E$5:$E$19984,$D$5:$D$19984,R110))</f>
      </c>
      <c r="T110" s="42">
        <f>IF(R110="","",SUMIFS($L$5:$L$19984,$K$5:$K$19984,R110))</f>
      </c>
      <c r="U110" s="42">
        <f t="shared" si="4"/>
      </c>
      <c r="V110" s="42"/>
      <c r="W110" s="42">
        <f t="shared" si="5"/>
      </c>
      <c r="X110" s="42"/>
      <c r="Y110" s="39"/>
    </row>
    <row r="111" ht="17.25" customHeight="1" spans="3:25" x14ac:dyDescent="0.25">
      <c r="C111" s="40"/>
      <c r="D111" s="41"/>
      <c r="E111" s="42"/>
      <c r="F111" s="43"/>
      <c r="G111" s="44"/>
      <c r="H111" s="45"/>
      <c r="I111" s="43"/>
      <c r="J111" s="40"/>
      <c r="K111" s="42"/>
      <c r="L111" s="42"/>
      <c r="M111" s="42"/>
      <c r="N111" s="42"/>
      <c r="O111" s="45"/>
      <c r="P111" s="45"/>
      <c r="Q111" s="43"/>
      <c r="R111" s="48"/>
      <c r="S111" s="42">
        <f>IF(R111="","",SUMIFS($E$5:$E$19984,$D$5:$D$19984,R111))</f>
      </c>
      <c r="T111" s="42">
        <f>IF(R111="","",SUMIFS($L$5:$L$19984,$K$5:$K$19984,R111))</f>
      </c>
      <c r="U111" s="42">
        <f t="shared" si="4"/>
      </c>
      <c r="V111" s="42"/>
      <c r="W111" s="42">
        <f t="shared" si="5"/>
      </c>
      <c r="X111" s="42"/>
      <c r="Y111" s="39"/>
    </row>
    <row r="112" ht="17.25" customHeight="1" spans="3:25" x14ac:dyDescent="0.25">
      <c r="C112" s="40"/>
      <c r="D112" s="41"/>
      <c r="E112" s="42"/>
      <c r="F112" s="43"/>
      <c r="G112" s="44"/>
      <c r="H112" s="45"/>
      <c r="I112" s="43"/>
      <c r="J112" s="40"/>
      <c r="K112" s="42"/>
      <c r="L112" s="42"/>
      <c r="M112" s="42"/>
      <c r="N112" s="42"/>
      <c r="O112" s="45"/>
      <c r="P112" s="45"/>
      <c r="Q112" s="43"/>
      <c r="R112" s="48"/>
      <c r="S112" s="42">
        <f>IF(R112="","",SUMIFS($E$5:$E$19984,$D$5:$D$19984,R112))</f>
      </c>
      <c r="T112" s="42">
        <f>IF(R112="","",SUMIFS($L$5:$L$19984,$K$5:$K$19984,R112))</f>
      </c>
      <c r="U112" s="42">
        <f t="shared" si="4"/>
      </c>
      <c r="V112" s="42"/>
      <c r="W112" s="42">
        <f t="shared" si="5"/>
      </c>
      <c r="X112" s="42"/>
      <c r="Y112" s="39"/>
    </row>
    <row r="113" ht="17.25" customHeight="1" spans="3:25" x14ac:dyDescent="0.25">
      <c r="C113" s="40"/>
      <c r="D113" s="41"/>
      <c r="E113" s="42"/>
      <c r="F113" s="43"/>
      <c r="G113" s="44"/>
      <c r="H113" s="45"/>
      <c r="I113" s="43"/>
      <c r="J113" s="40"/>
      <c r="K113" s="42"/>
      <c r="L113" s="42"/>
      <c r="M113" s="42"/>
      <c r="N113" s="42"/>
      <c r="O113" s="45"/>
      <c r="P113" s="45"/>
      <c r="Q113" s="43"/>
      <c r="R113" s="48"/>
      <c r="S113" s="42">
        <f>IF(R113="","",SUMIFS($E$5:$E$19984,$D$5:$D$19984,R113))</f>
      </c>
      <c r="T113" s="42">
        <f>IF(R113="","",SUMIFS($L$5:$L$19984,$K$5:$K$19984,R113))</f>
      </c>
      <c r="U113" s="42">
        <f t="shared" si="4"/>
      </c>
      <c r="V113" s="42"/>
      <c r="W113" s="42">
        <f t="shared" si="5"/>
      </c>
      <c r="X113" s="42"/>
      <c r="Y113" s="39"/>
    </row>
    <row r="114" ht="17.25" customHeight="1" spans="3:25" x14ac:dyDescent="0.25">
      <c r="C114" s="40"/>
      <c r="D114" s="41"/>
      <c r="E114" s="42"/>
      <c r="F114" s="43"/>
      <c r="G114" s="44"/>
      <c r="H114" s="45"/>
      <c r="I114" s="43"/>
      <c r="J114" s="40"/>
      <c r="K114" s="42"/>
      <c r="L114" s="42"/>
      <c r="M114" s="42"/>
      <c r="N114" s="42"/>
      <c r="O114" s="45"/>
      <c r="P114" s="45"/>
      <c r="Q114" s="43"/>
      <c r="R114" s="48"/>
      <c r="S114" s="42">
        <f>IF(R114="","",SUMIFS($E$5:$E$19984,$D$5:$D$19984,R114))</f>
      </c>
      <c r="T114" s="42">
        <f>IF(R114="","",SUMIFS($L$5:$L$19984,$K$5:$K$19984,R114))</f>
      </c>
      <c r="U114" s="42">
        <f t="shared" si="4"/>
      </c>
      <c r="V114" s="42"/>
      <c r="W114" s="42">
        <f t="shared" si="5"/>
      </c>
      <c r="X114" s="42"/>
      <c r="Y114" s="39"/>
    </row>
    <row r="115" ht="17.25" customHeight="1" spans="3:25" x14ac:dyDescent="0.25">
      <c r="C115" s="40"/>
      <c r="D115" s="41"/>
      <c r="E115" s="42"/>
      <c r="F115" s="43"/>
      <c r="G115" s="44"/>
      <c r="H115" s="45"/>
      <c r="I115" s="43"/>
      <c r="J115" s="40"/>
      <c r="K115" s="42"/>
      <c r="L115" s="42"/>
      <c r="M115" s="42"/>
      <c r="N115" s="42"/>
      <c r="O115" s="45"/>
      <c r="P115" s="45"/>
      <c r="Q115" s="43"/>
      <c r="R115" s="48"/>
      <c r="S115" s="42">
        <f>IF(R115="","",SUMIFS($E$5:$E$19984,$D$5:$D$19984,R115))</f>
      </c>
      <c r="T115" s="42">
        <f>IF(R115="","",SUMIFS($L$5:$L$19984,$K$5:$K$19984,R115))</f>
      </c>
      <c r="U115" s="42">
        <f t="shared" si="4"/>
      </c>
      <c r="V115" s="42"/>
      <c r="W115" s="42">
        <f t="shared" si="5"/>
      </c>
      <c r="X115" s="42"/>
      <c r="Y115" s="39"/>
    </row>
    <row r="116" ht="17.25" customHeight="1" spans="3:25" x14ac:dyDescent="0.25">
      <c r="C116" s="40"/>
      <c r="D116" s="41"/>
      <c r="E116" s="42"/>
      <c r="F116" s="43"/>
      <c r="G116" s="44"/>
      <c r="H116" s="45"/>
      <c r="I116" s="43"/>
      <c r="J116" s="40"/>
      <c r="K116" s="42"/>
      <c r="L116" s="42"/>
      <c r="M116" s="42"/>
      <c r="N116" s="42"/>
      <c r="O116" s="45"/>
      <c r="P116" s="45"/>
      <c r="Q116" s="43"/>
      <c r="R116" s="48"/>
      <c r="S116" s="42">
        <f>IF(R116="","",SUMIFS($E$5:$E$19984,$D$5:$D$19984,R116))</f>
      </c>
      <c r="T116" s="42">
        <f>IF(R116="","",SUMIFS($L$5:$L$19984,$K$5:$K$19984,R116))</f>
      </c>
      <c r="U116" s="42">
        <f t="shared" si="4"/>
      </c>
      <c r="V116" s="42"/>
      <c r="W116" s="42">
        <f t="shared" si="5"/>
      </c>
      <c r="X116" s="42"/>
      <c r="Y116" s="39"/>
    </row>
    <row r="117" ht="17.25" customHeight="1" spans="3:25" x14ac:dyDescent="0.25">
      <c r="C117" s="40"/>
      <c r="D117" s="41"/>
      <c r="E117" s="42"/>
      <c r="F117" s="43"/>
      <c r="G117" s="44"/>
      <c r="H117" s="45"/>
      <c r="I117" s="43"/>
      <c r="J117" s="40"/>
      <c r="K117" s="42"/>
      <c r="L117" s="42"/>
      <c r="M117" s="42"/>
      <c r="N117" s="42"/>
      <c r="O117" s="45"/>
      <c r="P117" s="45"/>
      <c r="Q117" s="43"/>
      <c r="R117" s="48"/>
      <c r="S117" s="42">
        <f>IF(R117="","",SUMIFS($E$5:$E$19984,$D$5:$D$19984,R117))</f>
      </c>
      <c r="T117" s="42">
        <f>IF(R117="","",SUMIFS($L$5:$L$19984,$K$5:$K$19984,R117))</f>
      </c>
      <c r="U117" s="42">
        <f t="shared" si="4"/>
      </c>
      <c r="V117" s="42"/>
      <c r="W117" s="42">
        <f t="shared" si="5"/>
      </c>
      <c r="X117" s="42"/>
      <c r="Y117" s="39"/>
    </row>
    <row r="118" ht="17.25" customHeight="1" spans="3:25" x14ac:dyDescent="0.25">
      <c r="C118" s="40"/>
      <c r="D118" s="41"/>
      <c r="E118" s="42"/>
      <c r="F118" s="43"/>
      <c r="G118" s="44"/>
      <c r="H118" s="45"/>
      <c r="I118" s="43"/>
      <c r="J118" s="40"/>
      <c r="K118" s="42"/>
      <c r="L118" s="42"/>
      <c r="M118" s="42"/>
      <c r="N118" s="42"/>
      <c r="O118" s="45"/>
      <c r="P118" s="45"/>
      <c r="Q118" s="43"/>
      <c r="R118" s="48"/>
      <c r="S118" s="42">
        <f>IF(R118="","",SUMIFS($E$5:$E$19984,$D$5:$D$19984,R118))</f>
      </c>
      <c r="T118" s="42">
        <f>IF(R118="","",SUMIFS($L$5:$L$19984,$K$5:$K$19984,R118))</f>
      </c>
      <c r="U118" s="42">
        <f t="shared" si="4"/>
      </c>
      <c r="V118" s="42"/>
      <c r="W118" s="42">
        <f t="shared" si="5"/>
      </c>
      <c r="X118" s="42"/>
      <c r="Y118" s="39"/>
    </row>
    <row r="119" ht="17.25" customHeight="1" spans="3:25" x14ac:dyDescent="0.25">
      <c r="C119" s="40"/>
      <c r="D119" s="41"/>
      <c r="E119" s="42"/>
      <c r="F119" s="43"/>
      <c r="G119" s="44"/>
      <c r="H119" s="45"/>
      <c r="I119" s="43"/>
      <c r="J119" s="40"/>
      <c r="K119" s="42"/>
      <c r="L119" s="42"/>
      <c r="M119" s="42"/>
      <c r="N119" s="42"/>
      <c r="O119" s="45"/>
      <c r="P119" s="45"/>
      <c r="Q119" s="43"/>
      <c r="R119" s="48"/>
      <c r="S119" s="42">
        <f>IF(R119="","",SUMIFS($E$5:$E$19984,$D$5:$D$19984,R119))</f>
      </c>
      <c r="T119" s="42">
        <f>IF(R119="","",SUMIFS($L$5:$L$19984,$K$5:$K$19984,R119))</f>
      </c>
      <c r="U119" s="42">
        <f t="shared" si="4"/>
      </c>
      <c r="V119" s="42"/>
      <c r="W119" s="42">
        <f t="shared" si="5"/>
      </c>
      <c r="X119" s="42"/>
      <c r="Y119" s="39"/>
    </row>
    <row r="120" ht="17.25" customHeight="1" spans="3:25" x14ac:dyDescent="0.25">
      <c r="C120" s="40"/>
      <c r="D120" s="41"/>
      <c r="E120" s="42"/>
      <c r="F120" s="43"/>
      <c r="G120" s="44"/>
      <c r="H120" s="45"/>
      <c r="I120" s="43"/>
      <c r="J120" s="40"/>
      <c r="K120" s="42"/>
      <c r="L120" s="42"/>
      <c r="M120" s="42"/>
      <c r="N120" s="42"/>
      <c r="O120" s="45"/>
      <c r="P120" s="45"/>
      <c r="Q120" s="43"/>
      <c r="R120" s="48"/>
      <c r="S120" s="42">
        <f>IF(R120="","",SUMIFS($E$5:$E$19984,$D$5:$D$19984,R120))</f>
      </c>
      <c r="T120" s="42">
        <f>IF(R120="","",SUMIFS($L$5:$L$19984,$K$5:$K$19984,R120))</f>
      </c>
      <c r="U120" s="42">
        <f t="shared" si="4"/>
      </c>
      <c r="V120" s="42"/>
      <c r="W120" s="42">
        <f t="shared" si="5"/>
      </c>
      <c r="X120" s="42"/>
      <c r="Y120" s="39"/>
    </row>
    <row r="121" ht="17.25" customHeight="1" spans="3:25" x14ac:dyDescent="0.25">
      <c r="C121" s="40"/>
      <c r="D121" s="41"/>
      <c r="E121" s="42"/>
      <c r="F121" s="43"/>
      <c r="G121" s="44"/>
      <c r="H121" s="45"/>
      <c r="I121" s="43"/>
      <c r="J121" s="40"/>
      <c r="K121" s="42"/>
      <c r="L121" s="42"/>
      <c r="M121" s="42"/>
      <c r="N121" s="42"/>
      <c r="O121" s="45"/>
      <c r="P121" s="45"/>
      <c r="Q121" s="43"/>
      <c r="R121" s="48"/>
      <c r="S121" s="42">
        <f>IF(R121="","",SUMIFS($E$5:$E$19984,$D$5:$D$19984,R121))</f>
      </c>
      <c r="T121" s="42">
        <f>IF(R121="","",SUMIFS($L$5:$L$19984,$K$5:$K$19984,R121))</f>
      </c>
      <c r="U121" s="42">
        <f t="shared" si="4"/>
      </c>
      <c r="V121" s="42"/>
      <c r="W121" s="42">
        <f t="shared" si="5"/>
      </c>
      <c r="X121" s="42"/>
      <c r="Y121" s="39"/>
    </row>
    <row r="122" ht="17.25" customHeight="1" spans="3:25" x14ac:dyDescent="0.25">
      <c r="C122" s="40"/>
      <c r="D122" s="41"/>
      <c r="E122" s="42"/>
      <c r="F122" s="43"/>
      <c r="G122" s="44"/>
      <c r="H122" s="45"/>
      <c r="I122" s="43"/>
      <c r="J122" s="40"/>
      <c r="K122" s="42"/>
      <c r="L122" s="42"/>
      <c r="M122" s="42"/>
      <c r="N122" s="42"/>
      <c r="O122" s="45"/>
      <c r="P122" s="45"/>
      <c r="Q122" s="43"/>
      <c r="R122" s="48"/>
      <c r="S122" s="42">
        <f>IF(R122="","",SUMIFS($E$5:$E$19984,$D$5:$D$19984,R122))</f>
      </c>
      <c r="T122" s="42">
        <f>IF(R122="","",SUMIFS($L$5:$L$19984,$K$5:$K$19984,R122))</f>
      </c>
      <c r="U122" s="42">
        <f t="shared" si="4"/>
      </c>
      <c r="V122" s="42"/>
      <c r="W122" s="42">
        <f t="shared" si="5"/>
      </c>
      <c r="X122" s="42"/>
      <c r="Y122" s="39"/>
    </row>
    <row r="123" ht="17.25" customHeight="1" spans="3:25" x14ac:dyDescent="0.25">
      <c r="C123" s="40"/>
      <c r="D123" s="41"/>
      <c r="E123" s="42"/>
      <c r="F123" s="43"/>
      <c r="G123" s="44"/>
      <c r="H123" s="45"/>
      <c r="I123" s="43"/>
      <c r="J123" s="40"/>
      <c r="K123" s="42"/>
      <c r="L123" s="42"/>
      <c r="M123" s="42"/>
      <c r="N123" s="42"/>
      <c r="O123" s="45"/>
      <c r="P123" s="45"/>
      <c r="Q123" s="43"/>
      <c r="R123" s="48"/>
      <c r="S123" s="42">
        <f>IF(R123="","",SUMIFS($E$5:$E$19984,$D$5:$D$19984,R123))</f>
      </c>
      <c r="T123" s="42">
        <f>IF(R123="","",SUMIFS($L$5:$L$19984,$K$5:$K$19984,R123))</f>
      </c>
      <c r="U123" s="42">
        <f t="shared" si="4"/>
      </c>
      <c r="V123" s="42"/>
      <c r="W123" s="42">
        <f t="shared" si="5"/>
      </c>
      <c r="X123" s="42"/>
      <c r="Y123" s="39"/>
    </row>
    <row r="124" ht="17.25" customHeight="1" spans="3:25" x14ac:dyDescent="0.25">
      <c r="C124" s="40"/>
      <c r="D124" s="41"/>
      <c r="E124" s="42"/>
      <c r="F124" s="43"/>
      <c r="G124" s="44"/>
      <c r="H124" s="45"/>
      <c r="I124" s="43"/>
      <c r="J124" s="40"/>
      <c r="K124" s="42"/>
      <c r="L124" s="42"/>
      <c r="M124" s="42"/>
      <c r="N124" s="42"/>
      <c r="O124" s="45"/>
      <c r="P124" s="45"/>
      <c r="Q124" s="43"/>
      <c r="R124" s="48"/>
      <c r="S124" s="42">
        <f>IF(R124="","",SUMIFS($E$5:$E$19984,$D$5:$D$19984,R124))</f>
      </c>
      <c r="T124" s="42">
        <f>IF(R124="","",SUMIFS($L$5:$L$19984,$K$5:$K$19984,R124))</f>
      </c>
      <c r="U124" s="42">
        <f t="shared" si="4"/>
      </c>
      <c r="V124" s="42"/>
      <c r="W124" s="42">
        <f t="shared" si="5"/>
      </c>
      <c r="X124" s="42"/>
      <c r="Y124" s="39"/>
    </row>
    <row r="125" ht="17.25" customHeight="1" spans="3:25" x14ac:dyDescent="0.25">
      <c r="C125" s="40"/>
      <c r="D125" s="41"/>
      <c r="E125" s="42"/>
      <c r="F125" s="43"/>
      <c r="G125" s="44"/>
      <c r="H125" s="45"/>
      <c r="I125" s="43"/>
      <c r="J125" s="40"/>
      <c r="K125" s="42"/>
      <c r="L125" s="42"/>
      <c r="M125" s="42"/>
      <c r="N125" s="42"/>
      <c r="O125" s="45"/>
      <c r="P125" s="45"/>
      <c r="Q125" s="43"/>
      <c r="R125" s="48"/>
      <c r="S125" s="42">
        <f>IF(R125="","",SUMIFS($E$5:$E$19984,$D$5:$D$19984,R125))</f>
      </c>
      <c r="T125" s="42">
        <f>IF(R125="","",SUMIFS($L$5:$L$19984,$K$5:$K$19984,R125))</f>
      </c>
      <c r="U125" s="42">
        <f t="shared" si="4"/>
      </c>
      <c r="V125" s="42"/>
      <c r="W125" s="42">
        <f t="shared" si="5"/>
      </c>
      <c r="X125" s="42"/>
      <c r="Y125" s="39"/>
    </row>
    <row r="126" ht="17.25" customHeight="1" spans="3:25" x14ac:dyDescent="0.25">
      <c r="C126" s="40"/>
      <c r="D126" s="41"/>
      <c r="E126" s="42"/>
      <c r="F126" s="43"/>
      <c r="G126" s="44"/>
      <c r="H126" s="45"/>
      <c r="I126" s="43"/>
      <c r="J126" s="40"/>
      <c r="K126" s="42"/>
      <c r="L126" s="42"/>
      <c r="M126" s="42"/>
      <c r="N126" s="42"/>
      <c r="O126" s="45"/>
      <c r="P126" s="45"/>
      <c r="Q126" s="43"/>
      <c r="R126" s="48"/>
      <c r="S126" s="42">
        <f>IF(R126="","",SUMIFS($E$5:$E$19984,$D$5:$D$19984,R126))</f>
      </c>
      <c r="T126" s="42">
        <f>IF(R126="","",SUMIFS($L$5:$L$19984,$K$5:$K$19984,R126))</f>
      </c>
      <c r="U126" s="42">
        <f t="shared" si="4"/>
      </c>
      <c r="V126" s="42"/>
      <c r="W126" s="42">
        <f t="shared" si="5"/>
      </c>
      <c r="X126" s="42"/>
      <c r="Y126" s="39"/>
    </row>
    <row r="127" ht="17.25" customHeight="1" spans="3:25" x14ac:dyDescent="0.25">
      <c r="C127" s="40"/>
      <c r="D127" s="41"/>
      <c r="E127" s="42"/>
      <c r="F127" s="43"/>
      <c r="G127" s="44"/>
      <c r="H127" s="45"/>
      <c r="I127" s="43"/>
      <c r="J127" s="40"/>
      <c r="K127" s="42"/>
      <c r="L127" s="42"/>
      <c r="M127" s="42"/>
      <c r="N127" s="42"/>
      <c r="O127" s="45"/>
      <c r="P127" s="45"/>
      <c r="Q127" s="43"/>
      <c r="R127" s="48"/>
      <c r="S127" s="42">
        <f>IF(R127="","",SUMIFS($E$5:$E$19984,$D$5:$D$19984,R127))</f>
      </c>
      <c r="T127" s="42">
        <f>IF(R127="","",SUMIFS($L$5:$L$19984,$K$5:$K$19984,R127))</f>
      </c>
      <c r="U127" s="42">
        <f t="shared" si="4"/>
      </c>
      <c r="V127" s="42"/>
      <c r="W127" s="42">
        <f t="shared" si="5"/>
      </c>
      <c r="X127" s="42"/>
      <c r="Y127" s="39"/>
    </row>
    <row r="128" ht="17.25" customHeight="1" spans="3:25" x14ac:dyDescent="0.25">
      <c r="C128" s="40"/>
      <c r="D128" s="41"/>
      <c r="E128" s="42"/>
      <c r="F128" s="43"/>
      <c r="G128" s="44"/>
      <c r="H128" s="45"/>
      <c r="I128" s="43"/>
      <c r="J128" s="40"/>
      <c r="K128" s="42"/>
      <c r="L128" s="42"/>
      <c r="M128" s="42"/>
      <c r="N128" s="42"/>
      <c r="O128" s="45"/>
      <c r="P128" s="45"/>
      <c r="Q128" s="43"/>
      <c r="R128" s="48"/>
      <c r="S128" s="42">
        <f>IF(R128="","",SUMIFS($E$5:$E$19984,$D$5:$D$19984,R128))</f>
      </c>
      <c r="T128" s="42">
        <f>IF(R128="","",SUMIFS($L$5:$L$19984,$K$5:$K$19984,R128))</f>
      </c>
      <c r="U128" s="42">
        <f t="shared" si="4"/>
      </c>
      <c r="V128" s="42"/>
      <c r="W128" s="42">
        <f t="shared" si="5"/>
      </c>
      <c r="X128" s="42"/>
      <c r="Y128" s="39"/>
    </row>
    <row r="129" ht="17.25" customHeight="1" spans="3:25" x14ac:dyDescent="0.25">
      <c r="C129" s="40"/>
      <c r="D129" s="41"/>
      <c r="E129" s="42"/>
      <c r="F129" s="43"/>
      <c r="G129" s="44"/>
      <c r="H129" s="45"/>
      <c r="I129" s="43"/>
      <c r="J129" s="40"/>
      <c r="K129" s="42"/>
      <c r="L129" s="42"/>
      <c r="M129" s="42"/>
      <c r="N129" s="42"/>
      <c r="O129" s="45"/>
      <c r="P129" s="45"/>
      <c r="Q129" s="43"/>
      <c r="R129" s="48"/>
      <c r="S129" s="42">
        <f>IF(R129="","",SUMIFS($E$5:$E$19984,$D$5:$D$19984,R129))</f>
      </c>
      <c r="T129" s="42">
        <f>IF(R129="","",SUMIFS($L$5:$L$19984,$K$5:$K$19984,R129))</f>
      </c>
      <c r="U129" s="42">
        <f t="shared" si="4"/>
      </c>
      <c r="V129" s="42"/>
      <c r="W129" s="42">
        <f t="shared" si="5"/>
      </c>
      <c r="X129" s="42"/>
      <c r="Y129" s="39"/>
    </row>
    <row r="130" ht="17.25" customHeight="1" spans="3:25" x14ac:dyDescent="0.25">
      <c r="C130" s="40"/>
      <c r="D130" s="41"/>
      <c r="E130" s="42"/>
      <c r="F130" s="43"/>
      <c r="G130" s="44"/>
      <c r="H130" s="45"/>
      <c r="I130" s="43"/>
      <c r="J130" s="40"/>
      <c r="K130" s="42"/>
      <c r="L130" s="42"/>
      <c r="M130" s="42"/>
      <c r="N130" s="42"/>
      <c r="O130" s="45"/>
      <c r="P130" s="45"/>
      <c r="Q130" s="43"/>
      <c r="R130" s="48"/>
      <c r="S130" s="42">
        <f>IF(R130="","",SUMIFS($E$5:$E$19984,$D$5:$D$19984,R130))</f>
      </c>
      <c r="T130" s="42">
        <f>IF(R130="","",SUMIFS($L$5:$L$19984,$K$5:$K$19984,R130))</f>
      </c>
      <c r="U130" s="42">
        <f t="shared" si="4"/>
      </c>
      <c r="V130" s="42"/>
      <c r="W130" s="42">
        <f t="shared" si="5"/>
      </c>
      <c r="X130" s="42"/>
      <c r="Y130" s="39"/>
    </row>
    <row r="131" ht="17.25" customHeight="1" spans="3:25" x14ac:dyDescent="0.25">
      <c r="C131" s="40"/>
      <c r="D131" s="41"/>
      <c r="E131" s="42"/>
      <c r="F131" s="43"/>
      <c r="G131" s="44"/>
      <c r="H131" s="45"/>
      <c r="I131" s="43"/>
      <c r="J131" s="40"/>
      <c r="K131" s="42"/>
      <c r="L131" s="42"/>
      <c r="M131" s="42"/>
      <c r="N131" s="42"/>
      <c r="O131" s="45"/>
      <c r="P131" s="45"/>
      <c r="Q131" s="43"/>
      <c r="R131" s="48"/>
      <c r="S131" s="42">
        <f>IF(R131="","",SUMIFS($E$5:$E$19984,$D$5:$D$19984,R131))</f>
      </c>
      <c r="T131" s="42">
        <f>IF(R131="","",SUMIFS($L$5:$L$19984,$K$5:$K$19984,R131))</f>
      </c>
      <c r="U131" s="42">
        <f t="shared" si="4"/>
      </c>
      <c r="V131" s="42"/>
      <c r="W131" s="42">
        <f t="shared" si="5"/>
      </c>
      <c r="X131" s="42"/>
      <c r="Y131" s="39"/>
    </row>
    <row r="132" ht="17.25" customHeight="1" spans="3:25" x14ac:dyDescent="0.25">
      <c r="C132" s="40"/>
      <c r="D132" s="41"/>
      <c r="E132" s="42"/>
      <c r="F132" s="43"/>
      <c r="G132" s="44"/>
      <c r="H132" s="45"/>
      <c r="I132" s="43"/>
      <c r="J132" s="40"/>
      <c r="K132" s="42"/>
      <c r="L132" s="42"/>
      <c r="M132" s="42"/>
      <c r="N132" s="42"/>
      <c r="O132" s="45"/>
      <c r="P132" s="45"/>
      <c r="Q132" s="43"/>
      <c r="R132" s="48"/>
      <c r="S132" s="42">
        <f>IF(R132="","",SUMIFS($E$5:$E$19984,$D$5:$D$19984,R132))</f>
      </c>
      <c r="T132" s="42">
        <f>IF(R132="","",SUMIFS($L$5:$L$19984,$K$5:$K$19984,R132))</f>
      </c>
      <c r="U132" s="42">
        <f t="shared" si="4"/>
      </c>
      <c r="V132" s="42"/>
      <c r="W132" s="42">
        <f t="shared" si="5"/>
      </c>
      <c r="X132" s="42"/>
      <c r="Y132" s="39"/>
    </row>
    <row r="133" ht="17.25" customHeight="1" spans="3:25" x14ac:dyDescent="0.25">
      <c r="C133" s="40"/>
      <c r="D133" s="41"/>
      <c r="E133" s="42"/>
      <c r="F133" s="43"/>
      <c r="G133" s="44"/>
      <c r="H133" s="45"/>
      <c r="I133" s="43"/>
      <c r="J133" s="40"/>
      <c r="K133" s="42"/>
      <c r="L133" s="42"/>
      <c r="M133" s="42"/>
      <c r="N133" s="42"/>
      <c r="O133" s="45"/>
      <c r="P133" s="45"/>
      <c r="Q133" s="43"/>
      <c r="R133" s="48"/>
      <c r="S133" s="42">
        <f>IF(R133="","",SUMIFS($E$5:$E$19984,$D$5:$D$19984,R133))</f>
      </c>
      <c r="T133" s="42">
        <f>IF(R133="","",SUMIFS($L$5:$L$19984,$K$5:$K$19984,R133))</f>
      </c>
      <c r="U133" s="42">
        <f t="shared" ref="U133:U142" si="6">IF(R133="","",S133-T133)</f>
      </c>
      <c r="V133" s="42"/>
      <c r="W133" s="42">
        <f t="shared" ref="W133:W142" si="7">IF(R133="","",IF(U133&lt;=V133,"需补仓","安全"))</f>
      </c>
      <c r="X133" s="42"/>
      <c r="Y133" s="39"/>
    </row>
    <row r="134" ht="17.25" customHeight="1" spans="3:25" x14ac:dyDescent="0.25">
      <c r="C134" s="40"/>
      <c r="D134" s="41"/>
      <c r="E134" s="42"/>
      <c r="F134" s="43"/>
      <c r="G134" s="44"/>
      <c r="H134" s="45"/>
      <c r="I134" s="43"/>
      <c r="J134" s="40"/>
      <c r="K134" s="42"/>
      <c r="L134" s="42"/>
      <c r="M134" s="42"/>
      <c r="N134" s="42"/>
      <c r="O134" s="45"/>
      <c r="P134" s="45"/>
      <c r="Q134" s="43"/>
      <c r="R134" s="48"/>
      <c r="S134" s="42">
        <f>IF(R134="","",SUMIFS($E$5:$E$19984,$D$5:$D$19984,R134))</f>
      </c>
      <c r="T134" s="42">
        <f>IF(R134="","",SUMIFS($L$5:$L$19984,$K$5:$K$19984,R134))</f>
      </c>
      <c r="U134" s="42">
        <f t="shared" si="6"/>
      </c>
      <c r="V134" s="42"/>
      <c r="W134" s="42">
        <f t="shared" si="7"/>
      </c>
      <c r="X134" s="42"/>
      <c r="Y134" s="39"/>
    </row>
    <row r="135" ht="17.25" customHeight="1" spans="3:25" x14ac:dyDescent="0.25">
      <c r="C135" s="40"/>
      <c r="D135" s="41"/>
      <c r="E135" s="42"/>
      <c r="F135" s="43"/>
      <c r="G135" s="44"/>
      <c r="H135" s="45"/>
      <c r="I135" s="43"/>
      <c r="J135" s="40"/>
      <c r="K135" s="42"/>
      <c r="L135" s="42"/>
      <c r="M135" s="42"/>
      <c r="N135" s="42"/>
      <c r="O135" s="45"/>
      <c r="P135" s="45"/>
      <c r="Q135" s="43"/>
      <c r="R135" s="48"/>
      <c r="S135" s="42">
        <f>IF(R135="","",SUMIFS($E$5:$E$19984,$D$5:$D$19984,R135))</f>
      </c>
      <c r="T135" s="42">
        <f>IF(R135="","",SUMIFS($L$5:$L$19984,$K$5:$K$19984,R135))</f>
      </c>
      <c r="U135" s="42">
        <f t="shared" si="6"/>
      </c>
      <c r="V135" s="42"/>
      <c r="W135" s="42">
        <f t="shared" si="7"/>
      </c>
      <c r="X135" s="42"/>
      <c r="Y135" s="39"/>
    </row>
    <row r="136" ht="17.25" customHeight="1" spans="3:25" x14ac:dyDescent="0.25">
      <c r="C136" s="40"/>
      <c r="D136" s="41"/>
      <c r="E136" s="42"/>
      <c r="F136" s="43"/>
      <c r="G136" s="44"/>
      <c r="H136" s="45"/>
      <c r="I136" s="43"/>
      <c r="J136" s="40"/>
      <c r="K136" s="42"/>
      <c r="L136" s="42"/>
      <c r="M136" s="42"/>
      <c r="N136" s="42"/>
      <c r="O136" s="45"/>
      <c r="P136" s="45"/>
      <c r="Q136" s="43"/>
      <c r="R136" s="48"/>
      <c r="S136" s="42">
        <f>IF(R136="","",SUMIFS($E$5:$E$19984,$D$5:$D$19984,R136))</f>
      </c>
      <c r="T136" s="42">
        <f>IF(R136="","",SUMIFS($L$5:$L$19984,$K$5:$K$19984,R136))</f>
      </c>
      <c r="U136" s="42">
        <f t="shared" si="6"/>
      </c>
      <c r="V136" s="42"/>
      <c r="W136" s="42">
        <f t="shared" si="7"/>
      </c>
      <c r="X136" s="42"/>
      <c r="Y136" s="39"/>
    </row>
    <row r="137" ht="17.25" customHeight="1" spans="3:25" x14ac:dyDescent="0.25">
      <c r="C137" s="40"/>
      <c r="D137" s="41"/>
      <c r="E137" s="42"/>
      <c r="F137" s="43"/>
      <c r="G137" s="44"/>
      <c r="H137" s="45"/>
      <c r="I137" s="43"/>
      <c r="J137" s="40"/>
      <c r="K137" s="42"/>
      <c r="L137" s="42"/>
      <c r="M137" s="42"/>
      <c r="N137" s="42"/>
      <c r="O137" s="45"/>
      <c r="P137" s="45"/>
      <c r="Q137" s="43"/>
      <c r="R137" s="48"/>
      <c r="S137" s="42">
        <f>IF(R137="","",SUMIFS($E$5:$E$19984,$D$5:$D$19984,R137))</f>
      </c>
      <c r="T137" s="42">
        <f>IF(R137="","",SUMIFS($L$5:$L$19984,$K$5:$K$19984,R137))</f>
      </c>
      <c r="U137" s="42">
        <f t="shared" si="6"/>
      </c>
      <c r="V137" s="42"/>
      <c r="W137" s="42">
        <f t="shared" si="7"/>
      </c>
      <c r="X137" s="42"/>
      <c r="Y137" s="39"/>
    </row>
    <row r="138" ht="17.25" customHeight="1" spans="3:25" x14ac:dyDescent="0.25">
      <c r="C138" s="40"/>
      <c r="D138" s="41"/>
      <c r="E138" s="42"/>
      <c r="F138" s="43"/>
      <c r="G138" s="44"/>
      <c r="H138" s="45"/>
      <c r="I138" s="43"/>
      <c r="J138" s="40"/>
      <c r="K138" s="42"/>
      <c r="L138" s="42"/>
      <c r="M138" s="42"/>
      <c r="N138" s="42"/>
      <c r="O138" s="45"/>
      <c r="P138" s="45"/>
      <c r="Q138" s="43"/>
      <c r="R138" s="48"/>
      <c r="S138" s="42">
        <f>IF(R138="","",SUMIFS($E$5:$E$19984,$D$5:$D$19984,R138))</f>
      </c>
      <c r="T138" s="42">
        <f>IF(R138="","",SUMIFS($L$5:$L$19984,$K$5:$K$19984,R138))</f>
      </c>
      <c r="U138" s="42">
        <f t="shared" si="6"/>
      </c>
      <c r="V138" s="42"/>
      <c r="W138" s="42">
        <f t="shared" si="7"/>
      </c>
      <c r="X138" s="42"/>
      <c r="Y138" s="39"/>
    </row>
    <row r="139" ht="17.25" customHeight="1" spans="3:25" x14ac:dyDescent="0.25">
      <c r="C139" s="40"/>
      <c r="D139" s="41"/>
      <c r="E139" s="42"/>
      <c r="F139" s="43"/>
      <c r="G139" s="44"/>
      <c r="H139" s="45"/>
      <c r="I139" s="43"/>
      <c r="J139" s="40"/>
      <c r="K139" s="42"/>
      <c r="L139" s="42"/>
      <c r="M139" s="42"/>
      <c r="N139" s="42"/>
      <c r="O139" s="45"/>
      <c r="P139" s="45"/>
      <c r="Q139" s="43"/>
      <c r="R139" s="48"/>
      <c r="S139" s="42">
        <f>IF(R139="","",SUMIFS($E$5:$E$19984,$D$5:$D$19984,R139))</f>
      </c>
      <c r="T139" s="42">
        <f>IF(R139="","",SUMIFS($L$5:$L$19984,$K$5:$K$19984,R139))</f>
      </c>
      <c r="U139" s="42">
        <f t="shared" si="6"/>
      </c>
      <c r="V139" s="42"/>
      <c r="W139" s="42">
        <f t="shared" si="7"/>
      </c>
      <c r="X139" s="42"/>
      <c r="Y139" s="39"/>
    </row>
    <row r="140" ht="17.25" customHeight="1" spans="3:25" x14ac:dyDescent="0.25">
      <c r="C140" s="40"/>
      <c r="D140" s="41"/>
      <c r="E140" s="42"/>
      <c r="F140" s="43"/>
      <c r="G140" s="44"/>
      <c r="H140" s="45"/>
      <c r="I140" s="43"/>
      <c r="J140" s="40"/>
      <c r="K140" s="42"/>
      <c r="L140" s="42"/>
      <c r="M140" s="42"/>
      <c r="N140" s="42"/>
      <c r="O140" s="45"/>
      <c r="P140" s="45"/>
      <c r="Q140" s="43"/>
      <c r="R140" s="48"/>
      <c r="S140" s="42">
        <f>IF(R140="","",SUMIFS($E$5:$E$19984,$D$5:$D$19984,R140))</f>
      </c>
      <c r="T140" s="42">
        <f>IF(R140="","",SUMIFS($L$5:$L$19984,$K$5:$K$19984,R140))</f>
      </c>
      <c r="U140" s="42">
        <f t="shared" si="6"/>
      </c>
      <c r="V140" s="42"/>
      <c r="W140" s="42">
        <f t="shared" si="7"/>
      </c>
      <c r="X140" s="42"/>
      <c r="Y140" s="39"/>
    </row>
    <row r="141" ht="17.25" customHeight="1" spans="3:25" x14ac:dyDescent="0.25">
      <c r="C141" s="40"/>
      <c r="D141" s="41"/>
      <c r="E141" s="42"/>
      <c r="F141" s="43"/>
      <c r="G141" s="44"/>
      <c r="H141" s="45"/>
      <c r="I141" s="43"/>
      <c r="J141" s="40"/>
      <c r="K141" s="42"/>
      <c r="L141" s="42"/>
      <c r="M141" s="42"/>
      <c r="N141" s="42"/>
      <c r="O141" s="45"/>
      <c r="P141" s="45"/>
      <c r="Q141" s="43"/>
      <c r="R141" s="48"/>
      <c r="S141" s="42">
        <f>IF(R141="","",SUMIFS($E$5:$E$19984,$D$5:$D$19984,R141))</f>
      </c>
      <c r="T141" s="42">
        <f>IF(R141="","",SUMIFS($L$5:$L$19984,$K$5:$K$19984,R141))</f>
      </c>
      <c r="U141" s="42">
        <f t="shared" si="6"/>
      </c>
      <c r="V141" s="42"/>
      <c r="W141" s="42">
        <f t="shared" si="7"/>
      </c>
      <c r="X141" s="42"/>
      <c r="Y141" s="39"/>
    </row>
    <row r="142" ht="17.25" customHeight="1" spans="3:25" x14ac:dyDescent="0.25">
      <c r="C142" s="40"/>
      <c r="D142" s="41"/>
      <c r="E142" s="42"/>
      <c r="F142" s="43"/>
      <c r="G142" s="44"/>
      <c r="H142" s="45"/>
      <c r="I142" s="43"/>
      <c r="J142" s="40"/>
      <c r="K142" s="42"/>
      <c r="L142" s="42"/>
      <c r="M142" s="42"/>
      <c r="N142" s="42"/>
      <c r="O142" s="45"/>
      <c r="P142" s="45"/>
      <c r="Q142" s="43"/>
      <c r="R142" s="48"/>
      <c r="S142" s="42">
        <f>IF(R142="","",SUMIFS($E$5:$E$19984,$D$5:$D$19984,R142))</f>
      </c>
      <c r="T142" s="42">
        <f>IF(R142="","",SUMIFS($L$5:$L$19984,$K$5:$K$19984,R142))</f>
      </c>
      <c r="U142" s="42">
        <f t="shared" si="6"/>
      </c>
      <c r="V142" s="42"/>
      <c r="W142" s="42">
        <f t="shared" si="7"/>
      </c>
      <c r="X142" s="42"/>
      <c r="Y142" s="39"/>
    </row>
    <row r="143" ht="17.25" customHeight="1" spans="3:24" x14ac:dyDescent="0.25">
      <c r="C143" s="49"/>
      <c r="D143" s="50"/>
      <c r="E143" s="51"/>
      <c r="F143" s="52"/>
      <c r="G143" s="52"/>
      <c r="H143" s="52"/>
      <c r="I143" s="52"/>
      <c r="J143" s="53"/>
      <c r="K143" s="52"/>
      <c r="L143" s="52"/>
      <c r="M143" s="52"/>
      <c r="N143" s="52"/>
      <c r="O143" s="52"/>
      <c r="P143" s="52"/>
      <c r="Q143" s="52"/>
      <c r="R143" s="54"/>
      <c r="S143" s="52"/>
      <c r="T143" s="52"/>
      <c r="U143" s="52"/>
      <c r="V143" s="52"/>
      <c r="W143" s="52"/>
      <c r="X143" s="52"/>
    </row>
  </sheetData>
  <sheetProtection formatCells="0" formatColumns="0" formatRows="0" insertColumns="0" insertRows="0" insertHyperlinks="0" deleteColumns="0" deleteRows="0" sort="0" autoFilter="0" pivotTables="0"/>
  <mergeCells count="4">
    <mergeCell ref="C2:E3"/>
    <mergeCell ref="J2:L3"/>
    <mergeCell ref="R2:T3"/>
    <mergeCell ref="U2:V3"/>
  </mergeCells>
  <conditionalFormatting sqref="W5:W142">
    <cfRule type="containsText" dxfId="0" priority="1">
      <formula>NOT(ISERROR(SEARCH("需补仓",W5)))</formula>
    </cfRule>
  </conditionalFormatting>
  <dataValidations count="7">
    <dataValidation type="list" allowBlank="1" showInputMessage="1" showErrorMessage="1" sqref="D10:D1048576">
      <formula1>冲头名称数据源</formula1>
    </dataValidation>
    <dataValidation type="list" allowBlank="1" showInputMessage="1" showErrorMessage="1" sqref="D2:D3">
      <formula1>冲头名称数据源</formula1>
    </dataValidation>
    <dataValidation type="list" allowBlank="1" showInputMessage="1" showErrorMessage="1" sqref="D5:D1048576">
      <formula1>冲头名称数据源</formula1>
    </dataValidation>
    <dataValidation type="list" allowBlank="1" showInputMessage="1" showErrorMessage="1" sqref="K10:K1048576">
      <formula1>冲头名称数据源</formula1>
    </dataValidation>
    <dataValidation type="list" allowBlank="1" showInputMessage="1" showErrorMessage="1" sqref="K2:K3">
      <formula1>冲头名称数据源</formula1>
    </dataValidation>
    <dataValidation type="list" allowBlank="1" showInputMessage="1" showErrorMessage="1" sqref="K5:K1048576">
      <formula1>冲头名称数据源</formula1>
    </dataValidation>
    <dataValidation showInputMessage="1" showErrorMessage="1" sqref="R5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43"/>
  <sheetViews>
    <sheetView workbookViewId="0" showGridLines="0" zoomScale="90" zoomScaleNormal="90">
      <selection activeCell="R10" sqref="R10"/>
    </sheetView>
  </sheetViews>
  <sheetFormatPr defaultRowHeight="13.5" outlineLevelRow="0" outlineLevelCol="0" x14ac:dyDescent="0" defaultColWidth="9" customHeight="1"/>
  <cols>
    <col min="1" max="2" width="2.10833333333333" style="9" customWidth="1"/>
    <col min="3" max="3" width="21.3916666666667" style="10" customWidth="1"/>
    <col min="4" max="4" width="27.0833333333333" style="11" customWidth="1"/>
    <col min="5" max="5" width="10.1416666666667" style="12" customWidth="1"/>
    <col min="6" max="6" width="1.10833333333333" style="9" customWidth="1"/>
    <col min="7" max="7" width="1.775" style="9" customWidth="1"/>
    <col min="8" max="8" width="0.558333333333333" style="9" customWidth="1"/>
    <col min="9" max="9" width="2.10833333333333" style="9" customWidth="1"/>
    <col min="10" max="10" width="21.6583333333333" style="13" customWidth="1"/>
    <col min="11" max="11" width="27.9166666666667" style="9" customWidth="1"/>
    <col min="12" max="12" width="12.1083333333333" style="9" customWidth="1"/>
    <col min="13" max="13" width="12.6416666666667" style="9" customWidth="1"/>
    <col min="14" max="14" width="31.3833333333333" style="9" customWidth="1"/>
    <col min="15" max="15" width="2.5" style="9" hidden="1" customWidth="1"/>
    <col min="16" max="16" width="3.325" style="9" customWidth="1"/>
    <col min="17" max="17" width="2.08333333333333" style="9" customWidth="1"/>
    <col min="18" max="18" width="19.025" style="14" customWidth="1"/>
    <col min="19" max="20" width="11.1083333333333" style="9" customWidth="1"/>
    <col min="21" max="21" width="11.8833333333333" style="9" customWidth="1"/>
    <col min="22" max="22" width="11.3333333333333" style="9" customWidth="1"/>
    <col min="23" max="23" width="10.8833333333333" style="9" customWidth="1"/>
    <col min="24" max="25" width="11.2166666666667" style="9" customWidth="1"/>
    <col min="26" max="27" width="2.10833333333333" style="9" customWidth="1"/>
    <col min="28" max="16384" width="9" style="9" customWidth="1"/>
  </cols>
  <sheetData>
    <row r="1" ht="9" customHeight="1" spans="2:26" s="15" customFormat="1" x14ac:dyDescent="0.25">
      <c r="B1" s="16"/>
      <c r="C1" s="17"/>
      <c r="D1" s="18"/>
      <c r="E1" s="19"/>
      <c r="F1" s="16"/>
      <c r="G1" s="15"/>
      <c r="H1" s="20"/>
      <c r="I1" s="16"/>
      <c r="J1" s="21"/>
      <c r="K1" s="16"/>
      <c r="L1" s="16"/>
      <c r="M1" s="16"/>
      <c r="N1" s="16"/>
      <c r="O1" s="20"/>
      <c r="P1" s="20"/>
      <c r="Q1" s="16"/>
      <c r="R1" s="22"/>
      <c r="S1" s="16"/>
      <c r="T1" s="16"/>
      <c r="U1" s="16"/>
      <c r="V1" s="16"/>
      <c r="W1" s="16"/>
      <c r="X1" s="16"/>
      <c r="Y1" s="16"/>
      <c r="Z1" s="16"/>
    </row>
    <row r="2" ht="19.05" customHeight="1" spans="2:26" s="15" customFormat="1" x14ac:dyDescent="0.25">
      <c r="B2" s="16"/>
      <c r="C2" s="23" t="s">
        <v>167</v>
      </c>
      <c r="D2" s="24"/>
      <c r="E2" s="25"/>
      <c r="F2" s="16"/>
      <c r="G2" s="15"/>
      <c r="H2" s="20"/>
      <c r="I2" s="16"/>
      <c r="J2" s="23" t="s">
        <v>168</v>
      </c>
      <c r="K2" s="25"/>
      <c r="L2" s="25"/>
      <c r="M2" s="16"/>
      <c r="N2" s="16"/>
      <c r="O2" s="20"/>
      <c r="P2" s="20"/>
      <c r="Q2" s="16"/>
      <c r="R2" s="23" t="s">
        <v>169</v>
      </c>
      <c r="S2" s="25"/>
      <c r="T2" s="25"/>
      <c r="U2" s="25"/>
      <c r="V2" s="23"/>
      <c r="W2" s="25"/>
      <c r="X2" s="25"/>
      <c r="Y2" s="25"/>
      <c r="Z2" s="16"/>
    </row>
    <row r="3" ht="13.95" customHeight="1" spans="2:26" s="15" customFormat="1" x14ac:dyDescent="0.25">
      <c r="B3" s="16"/>
      <c r="C3" s="26"/>
      <c r="D3" s="24"/>
      <c r="E3" s="25"/>
      <c r="F3" s="16"/>
      <c r="G3" s="15"/>
      <c r="H3" s="20"/>
      <c r="I3" s="16"/>
      <c r="J3" s="26"/>
      <c r="K3" s="25"/>
      <c r="L3" s="25"/>
      <c r="M3" s="16"/>
      <c r="N3" s="16"/>
      <c r="O3" s="20"/>
      <c r="P3" s="20"/>
      <c r="Q3" s="16"/>
      <c r="R3" s="26"/>
      <c r="S3" s="25"/>
      <c r="T3" s="25"/>
      <c r="U3" s="25"/>
      <c r="V3" s="26"/>
      <c r="W3" s="25"/>
      <c r="X3" s="25"/>
      <c r="Y3" s="25"/>
      <c r="Z3" s="16"/>
    </row>
    <row r="4" ht="24" customHeight="1" spans="2:26" s="27" customFormat="1" x14ac:dyDescent="0.25">
      <c r="B4" s="28"/>
      <c r="C4" s="29" t="s">
        <v>170</v>
      </c>
      <c r="D4" s="30" t="s">
        <v>171</v>
      </c>
      <c r="E4" s="31" t="s">
        <v>172</v>
      </c>
      <c r="F4" s="27"/>
      <c r="G4" s="27"/>
      <c r="H4" s="32"/>
      <c r="I4" s="28"/>
      <c r="J4" s="33" t="s">
        <v>173</v>
      </c>
      <c r="K4" s="34" t="s">
        <v>171</v>
      </c>
      <c r="L4" s="35" t="s">
        <v>174</v>
      </c>
      <c r="M4" s="35" t="s">
        <v>175</v>
      </c>
      <c r="N4" s="35" t="s">
        <v>10</v>
      </c>
      <c r="O4" s="32"/>
      <c r="P4" s="32"/>
      <c r="Q4" s="28"/>
      <c r="R4" s="36" t="s">
        <v>171</v>
      </c>
      <c r="S4" s="55" t="s">
        <v>200</v>
      </c>
      <c r="T4" s="37" t="s">
        <v>176</v>
      </c>
      <c r="U4" s="37" t="s">
        <v>174</v>
      </c>
      <c r="V4" s="37" t="s">
        <v>177</v>
      </c>
      <c r="W4" s="37" t="s">
        <v>178</v>
      </c>
      <c r="X4" s="38" t="s">
        <v>179</v>
      </c>
      <c r="Y4" s="38" t="s">
        <v>10</v>
      </c>
      <c r="Z4" s="28"/>
    </row>
    <row r="5" ht="19.95" customHeight="1" spans="2:26" x14ac:dyDescent="0.25">
      <c r="B5" s="39"/>
      <c r="C5" s="40"/>
      <c r="D5" s="41"/>
      <c r="E5" s="42"/>
      <c r="F5" s="43"/>
      <c r="G5" s="44"/>
      <c r="H5" s="45"/>
      <c r="I5" s="43"/>
      <c r="J5" s="40"/>
      <c r="K5" s="46" t="s">
        <v>201</v>
      </c>
      <c r="L5" s="42"/>
      <c r="M5" s="47"/>
      <c r="N5" s="42"/>
      <c r="O5" s="45"/>
      <c r="P5" s="45"/>
      <c r="Q5" s="43"/>
      <c r="R5" s="48" t="s">
        <v>202</v>
      </c>
      <c r="S5" s="42">
        <v>1.32</v>
      </c>
      <c r="T5" s="42"/>
      <c r="U5" s="42"/>
      <c r="V5" s="42"/>
      <c r="W5" s="42"/>
      <c r="X5" s="42"/>
      <c r="Y5" s="42"/>
      <c r="Z5" s="39"/>
    </row>
    <row r="6" ht="19.95" customHeight="1" spans="2:26" x14ac:dyDescent="0.25">
      <c r="B6" s="39"/>
      <c r="C6" s="40"/>
      <c r="D6" s="41"/>
      <c r="E6" s="42"/>
      <c r="F6" s="43"/>
      <c r="G6" s="44"/>
      <c r="H6" s="45"/>
      <c r="I6" s="43"/>
      <c r="J6" s="40"/>
      <c r="K6" s="46"/>
      <c r="L6" s="42"/>
      <c r="M6" s="42"/>
      <c r="N6" s="42"/>
      <c r="O6" s="45"/>
      <c r="P6" s="45"/>
      <c r="Q6" s="43"/>
      <c r="R6" s="48" t="s">
        <v>201</v>
      </c>
      <c r="S6" s="42">
        <v>1.35</v>
      </c>
      <c r="T6" s="42"/>
      <c r="U6" s="42"/>
      <c r="V6" s="42"/>
      <c r="W6" s="42"/>
      <c r="X6" s="42"/>
      <c r="Y6" s="42"/>
      <c r="Z6" s="39"/>
    </row>
    <row r="7" ht="19.95" customHeight="1" spans="2:26" x14ac:dyDescent="0.25">
      <c r="B7" s="39"/>
      <c r="C7" s="40"/>
      <c r="D7" s="41"/>
      <c r="E7" s="42"/>
      <c r="F7" s="43"/>
      <c r="G7" s="44"/>
      <c r="H7" s="45"/>
      <c r="I7" s="43"/>
      <c r="J7" s="40"/>
      <c r="K7" s="46"/>
      <c r="L7" s="42"/>
      <c r="M7" s="42"/>
      <c r="N7" s="42"/>
      <c r="O7" s="45"/>
      <c r="P7" s="45"/>
      <c r="Q7" s="43"/>
      <c r="R7" s="48" t="s">
        <v>201</v>
      </c>
      <c r="S7" s="42">
        <v>1.35</v>
      </c>
      <c r="T7" s="42"/>
      <c r="U7" s="42"/>
      <c r="V7" s="42"/>
      <c r="W7" s="42"/>
      <c r="X7" s="42"/>
      <c r="Y7" s="42"/>
      <c r="Z7" s="39"/>
    </row>
    <row r="8" ht="19.95" customHeight="1" spans="2:26" x14ac:dyDescent="0.25">
      <c r="B8" s="39"/>
      <c r="C8" s="40"/>
      <c r="D8" s="41"/>
      <c r="E8" s="42"/>
      <c r="F8" s="43"/>
      <c r="G8" s="44"/>
      <c r="H8" s="45"/>
      <c r="I8" s="43"/>
      <c r="J8" s="40"/>
      <c r="K8" s="42"/>
      <c r="L8" s="42"/>
      <c r="M8" s="42"/>
      <c r="N8" s="42"/>
      <c r="O8" s="45"/>
      <c r="P8" s="45"/>
      <c r="Q8" s="43"/>
      <c r="R8" s="48" t="s">
        <v>203</v>
      </c>
      <c r="S8" s="42">
        <v>1.62</v>
      </c>
      <c r="T8" s="42"/>
      <c r="U8" s="42"/>
      <c r="V8" s="42"/>
      <c r="W8" s="42"/>
      <c r="X8" s="42"/>
      <c r="Y8" s="42"/>
      <c r="Z8" s="39"/>
    </row>
    <row r="9" ht="19.95" customHeight="1" spans="2:26" x14ac:dyDescent="0.25">
      <c r="B9" s="39"/>
      <c r="C9" s="40"/>
      <c r="D9" s="41"/>
      <c r="E9" s="42"/>
      <c r="F9" s="43"/>
      <c r="G9" s="44"/>
      <c r="H9" s="45"/>
      <c r="I9" s="43"/>
      <c r="J9" s="40"/>
      <c r="K9" s="42"/>
      <c r="L9" s="42"/>
      <c r="M9" s="42"/>
      <c r="N9" s="42"/>
      <c r="O9" s="45"/>
      <c r="P9" s="45"/>
      <c r="Q9" s="43"/>
      <c r="R9" s="48"/>
      <c r="S9" s="42"/>
      <c r="T9" s="42"/>
      <c r="U9" s="42"/>
      <c r="V9" s="42"/>
      <c r="W9" s="42"/>
      <c r="X9" s="42"/>
      <c r="Y9" s="42"/>
      <c r="Z9" s="39"/>
    </row>
    <row r="10" ht="19.95" customHeight="1" spans="2:26" x14ac:dyDescent="0.25">
      <c r="B10" s="39"/>
      <c r="C10" s="40"/>
      <c r="D10" s="41"/>
      <c r="E10" s="42"/>
      <c r="F10" s="43"/>
      <c r="G10" s="44"/>
      <c r="H10" s="45"/>
      <c r="I10" s="43"/>
      <c r="J10" s="40"/>
      <c r="K10" s="42"/>
      <c r="L10" s="42"/>
      <c r="M10" s="42"/>
      <c r="N10" s="42"/>
      <c r="O10" s="45"/>
      <c r="P10" s="45"/>
      <c r="Q10" s="43"/>
      <c r="R10" s="48"/>
      <c r="S10" s="42"/>
      <c r="T10" s="42"/>
      <c r="U10" s="42"/>
      <c r="V10" s="42"/>
      <c r="W10" s="42"/>
      <c r="X10" s="42"/>
      <c r="Y10" s="42"/>
      <c r="Z10" s="39"/>
    </row>
    <row r="11" ht="19.95" customHeight="1" spans="2:26" x14ac:dyDescent="0.25">
      <c r="B11" s="39"/>
      <c r="C11" s="40"/>
      <c r="D11" s="41"/>
      <c r="E11" s="42"/>
      <c r="F11" s="43"/>
      <c r="G11" s="44"/>
      <c r="H11" s="45"/>
      <c r="I11" s="43"/>
      <c r="J11" s="40"/>
      <c r="K11" s="46"/>
      <c r="L11" s="42"/>
      <c r="M11" s="42"/>
      <c r="N11" s="42"/>
      <c r="O11" s="45"/>
      <c r="P11" s="45"/>
      <c r="Q11" s="43"/>
      <c r="R11" s="48"/>
      <c r="S11" s="42"/>
      <c r="T11" s="42"/>
      <c r="U11" s="42"/>
      <c r="V11" s="42"/>
      <c r="W11" s="42"/>
      <c r="X11" s="42"/>
      <c r="Y11" s="42"/>
      <c r="Z11" s="39"/>
    </row>
    <row r="12" ht="19.95" customHeight="1" spans="2:26" x14ac:dyDescent="0.25">
      <c r="B12" s="39"/>
      <c r="C12" s="40"/>
      <c r="D12" s="41"/>
      <c r="E12" s="42"/>
      <c r="F12" s="43"/>
      <c r="G12" s="44"/>
      <c r="H12" s="45"/>
      <c r="I12" s="43"/>
      <c r="J12" s="40"/>
      <c r="K12" s="46"/>
      <c r="L12" s="42"/>
      <c r="M12" s="42"/>
      <c r="N12" s="42"/>
      <c r="O12" s="45"/>
      <c r="P12" s="45"/>
      <c r="Q12" s="43"/>
      <c r="R12" s="48"/>
      <c r="S12" s="42"/>
      <c r="T12" s="42"/>
      <c r="U12" s="42"/>
      <c r="V12" s="42"/>
      <c r="W12" s="42"/>
      <c r="X12" s="42"/>
      <c r="Y12" s="42"/>
      <c r="Z12" s="39"/>
    </row>
    <row r="13" ht="19.95" customHeight="1" spans="2:26" x14ac:dyDescent="0.25">
      <c r="B13" s="39"/>
      <c r="C13" s="40"/>
      <c r="D13" s="41"/>
      <c r="E13" s="42"/>
      <c r="F13" s="43"/>
      <c r="G13" s="44"/>
      <c r="H13" s="45"/>
      <c r="I13" s="43"/>
      <c r="J13" s="40"/>
      <c r="K13" s="46"/>
      <c r="L13" s="42"/>
      <c r="M13" s="42"/>
      <c r="N13" s="42"/>
      <c r="O13" s="45"/>
      <c r="P13" s="45"/>
      <c r="Q13" s="43"/>
      <c r="R13" s="48"/>
      <c r="S13" s="42"/>
      <c r="T13" s="42"/>
      <c r="U13" s="42"/>
      <c r="V13" s="42"/>
      <c r="W13" s="42"/>
      <c r="X13" s="42"/>
      <c r="Y13" s="42"/>
      <c r="Z13" s="39"/>
    </row>
    <row r="14" ht="19.95" customHeight="1" spans="2:26" x14ac:dyDescent="0.25">
      <c r="B14" s="39"/>
      <c r="C14" s="40"/>
      <c r="D14" s="41"/>
      <c r="E14" s="42"/>
      <c r="F14" s="43"/>
      <c r="G14" s="44"/>
      <c r="H14" s="45"/>
      <c r="I14" s="43"/>
      <c r="J14" s="40"/>
      <c r="K14" s="42"/>
      <c r="L14" s="42"/>
      <c r="M14" s="42"/>
      <c r="N14" s="42"/>
      <c r="O14" s="45"/>
      <c r="P14" s="45"/>
      <c r="Q14" s="43"/>
      <c r="R14" s="48"/>
      <c r="S14" s="42"/>
      <c r="T14" s="42"/>
      <c r="U14" s="42"/>
      <c r="V14" s="42"/>
      <c r="W14" s="42"/>
      <c r="X14" s="42"/>
      <c r="Y14" s="42"/>
      <c r="Z14" s="39"/>
    </row>
    <row r="15" ht="19.95" customHeight="1" spans="2:26" x14ac:dyDescent="0.25">
      <c r="B15" s="39"/>
      <c r="C15" s="40"/>
      <c r="D15" s="41"/>
      <c r="E15" s="42"/>
      <c r="F15" s="43"/>
      <c r="G15" s="44"/>
      <c r="H15" s="45"/>
      <c r="I15" s="43"/>
      <c r="J15" s="40"/>
      <c r="K15" s="42"/>
      <c r="L15" s="42"/>
      <c r="M15" s="42"/>
      <c r="N15" s="42"/>
      <c r="O15" s="45"/>
      <c r="P15" s="45"/>
      <c r="Q15" s="43"/>
      <c r="R15" s="48"/>
      <c r="S15" s="42"/>
      <c r="T15" s="42"/>
      <c r="U15" s="42"/>
      <c r="V15" s="42"/>
      <c r="W15" s="42"/>
      <c r="X15" s="42"/>
      <c r="Y15" s="42"/>
      <c r="Z15" s="39"/>
    </row>
    <row r="16" ht="19.95" customHeight="1" spans="2:26" x14ac:dyDescent="0.25">
      <c r="B16" s="39"/>
      <c r="C16" s="40"/>
      <c r="D16" s="41"/>
      <c r="E16" s="42"/>
      <c r="F16" s="43"/>
      <c r="G16" s="44"/>
      <c r="H16" s="45"/>
      <c r="I16" s="43"/>
      <c r="J16" s="40"/>
      <c r="K16" s="42"/>
      <c r="L16" s="42"/>
      <c r="M16" s="42"/>
      <c r="N16" s="42"/>
      <c r="O16" s="45"/>
      <c r="P16" s="45"/>
      <c r="Q16" s="43"/>
      <c r="R16" s="48"/>
      <c r="S16" s="42"/>
      <c r="T16" s="42"/>
      <c r="U16" s="42"/>
      <c r="V16" s="42"/>
      <c r="W16" s="42"/>
      <c r="X16" s="42"/>
      <c r="Y16" s="42"/>
      <c r="Z16" s="39"/>
    </row>
    <row r="17" ht="19.95" customHeight="1" spans="2:26" x14ac:dyDescent="0.25">
      <c r="B17" s="39"/>
      <c r="C17" s="40"/>
      <c r="D17" s="41"/>
      <c r="E17" s="42"/>
      <c r="F17" s="43"/>
      <c r="G17" s="44"/>
      <c r="H17" s="45"/>
      <c r="I17" s="43"/>
      <c r="J17" s="40"/>
      <c r="K17" s="42"/>
      <c r="L17" s="42"/>
      <c r="M17" s="42"/>
      <c r="N17" s="42"/>
      <c r="O17" s="45"/>
      <c r="P17" s="45"/>
      <c r="Q17" s="43"/>
      <c r="R17" s="48"/>
      <c r="S17" s="42"/>
      <c r="T17" s="42"/>
      <c r="U17" s="42"/>
      <c r="V17" s="42"/>
      <c r="W17" s="42"/>
      <c r="X17" s="42"/>
      <c r="Y17" s="42"/>
      <c r="Z17" s="39"/>
    </row>
    <row r="18" ht="19.95" customHeight="1" spans="2:26" x14ac:dyDescent="0.25">
      <c r="B18" s="39"/>
      <c r="C18" s="40"/>
      <c r="D18" s="41"/>
      <c r="E18" s="42"/>
      <c r="F18" s="43"/>
      <c r="G18" s="44"/>
      <c r="H18" s="45"/>
      <c r="I18" s="43"/>
      <c r="J18" s="40"/>
      <c r="K18" s="42"/>
      <c r="L18" s="42"/>
      <c r="M18" s="42"/>
      <c r="N18" s="42"/>
      <c r="O18" s="45"/>
      <c r="P18" s="45"/>
      <c r="Q18" s="43"/>
      <c r="R18" s="48"/>
      <c r="S18" s="42"/>
      <c r="T18" s="42"/>
      <c r="U18" s="42"/>
      <c r="V18" s="42"/>
      <c r="W18" s="42"/>
      <c r="X18" s="42"/>
      <c r="Y18" s="42"/>
      <c r="Z18" s="39"/>
    </row>
    <row r="19" ht="19.95" customHeight="1" spans="2:26" x14ac:dyDescent="0.25">
      <c r="B19" s="39"/>
      <c r="C19" s="40"/>
      <c r="D19" s="41"/>
      <c r="E19" s="42"/>
      <c r="F19" s="43"/>
      <c r="G19" s="44"/>
      <c r="H19" s="45"/>
      <c r="I19" s="43"/>
      <c r="J19" s="40"/>
      <c r="K19" s="42"/>
      <c r="L19" s="42"/>
      <c r="M19" s="42"/>
      <c r="N19" s="42"/>
      <c r="O19" s="45"/>
      <c r="P19" s="45"/>
      <c r="Q19" s="43"/>
      <c r="R19" s="48"/>
      <c r="S19" s="42"/>
      <c r="T19" s="42"/>
      <c r="U19" s="42"/>
      <c r="V19" s="42"/>
      <c r="W19" s="42"/>
      <c r="X19" s="42"/>
      <c r="Y19" s="42"/>
      <c r="Z19" s="39"/>
    </row>
    <row r="20" ht="19.95" customHeight="1" spans="2:26" x14ac:dyDescent="0.25">
      <c r="B20" s="39"/>
      <c r="C20" s="40"/>
      <c r="D20" s="41"/>
      <c r="E20" s="42"/>
      <c r="F20" s="43"/>
      <c r="G20" s="44"/>
      <c r="H20" s="45"/>
      <c r="I20" s="43"/>
      <c r="J20" s="40"/>
      <c r="K20" s="42"/>
      <c r="L20" s="42"/>
      <c r="M20" s="42"/>
      <c r="N20" s="42"/>
      <c r="O20" s="45"/>
      <c r="P20" s="45"/>
      <c r="Q20" s="43"/>
      <c r="R20" s="48"/>
      <c r="S20" s="42"/>
      <c r="T20" s="42"/>
      <c r="U20" s="42"/>
      <c r="V20" s="42"/>
      <c r="W20" s="42"/>
      <c r="X20" s="42"/>
      <c r="Y20" s="42"/>
      <c r="Z20" s="39"/>
    </row>
    <row r="21" ht="19.95" customHeight="1" spans="2:26" x14ac:dyDescent="0.25">
      <c r="B21" s="39"/>
      <c r="C21" s="40"/>
      <c r="D21" s="41"/>
      <c r="E21" s="42"/>
      <c r="F21" s="43"/>
      <c r="G21" s="44"/>
      <c r="H21" s="45"/>
      <c r="I21" s="43"/>
      <c r="J21" s="40" t="s">
        <v>204</v>
      </c>
      <c r="K21" s="42"/>
      <c r="L21" s="42"/>
      <c r="M21" s="42"/>
      <c r="N21" s="42"/>
      <c r="O21" s="45"/>
      <c r="P21" s="45"/>
      <c r="Q21" s="43"/>
      <c r="R21" s="48"/>
      <c r="S21" s="42"/>
      <c r="T21" s="42"/>
      <c r="U21" s="42"/>
      <c r="V21" s="42"/>
      <c r="W21" s="42"/>
      <c r="X21" s="42"/>
      <c r="Y21" s="42"/>
      <c r="Z21" s="39"/>
    </row>
    <row r="22" ht="19.95" customHeight="1" spans="2:26" x14ac:dyDescent="0.25">
      <c r="B22" s="39"/>
      <c r="C22" s="40"/>
      <c r="D22" s="41"/>
      <c r="E22" s="42"/>
      <c r="F22" s="43"/>
      <c r="G22" s="44"/>
      <c r="H22" s="45"/>
      <c r="I22" s="43"/>
      <c r="J22" s="40"/>
      <c r="K22" s="42"/>
      <c r="L22" s="42"/>
      <c r="M22" s="42"/>
      <c r="N22" s="42"/>
      <c r="O22" s="45"/>
      <c r="P22" s="45"/>
      <c r="Q22" s="43"/>
      <c r="R22" s="48"/>
      <c r="S22" s="42"/>
      <c r="T22" s="42"/>
      <c r="U22" s="42"/>
      <c r="V22" s="42"/>
      <c r="W22" s="42"/>
      <c r="X22" s="42"/>
      <c r="Y22" s="42"/>
      <c r="Z22" s="39"/>
    </row>
    <row r="23" ht="19.95" customHeight="1" spans="2:26" x14ac:dyDescent="0.25">
      <c r="B23" s="39"/>
      <c r="C23" s="40"/>
      <c r="D23" s="41"/>
      <c r="E23" s="42"/>
      <c r="F23" s="43"/>
      <c r="G23" s="44"/>
      <c r="H23" s="45"/>
      <c r="I23" s="43"/>
      <c r="J23" s="40"/>
      <c r="K23" s="42"/>
      <c r="L23" s="42"/>
      <c r="M23" s="42"/>
      <c r="N23" s="42"/>
      <c r="O23" s="45"/>
      <c r="P23" s="45"/>
      <c r="Q23" s="43"/>
      <c r="R23" s="48"/>
      <c r="S23" s="42"/>
      <c r="T23" s="42">
        <f>IF(R23="","",SUMIFS($E$5:$E$19984,$D$5:$D$19984,R23))</f>
      </c>
      <c r="U23" s="42">
        <f>IF(R23="","",SUMIFS($L$5:$L$19984,$K$5:$K$19984,R23))</f>
      </c>
      <c r="V23" s="42">
        <f t="shared" ref="V5:V68" si="0">IF(R23="","",T23-U23)</f>
      </c>
      <c r="W23" s="42"/>
      <c r="X23" s="42">
        <f t="shared" ref="X5:X68" si="1">IF(R23="","",IF(V23&lt;=W23,"需补仓","安全"))</f>
      </c>
      <c r="Y23" s="42"/>
      <c r="Z23" s="39"/>
    </row>
    <row r="24" ht="19.95" customHeight="1" spans="2:26" x14ac:dyDescent="0.25">
      <c r="B24" s="39"/>
      <c r="C24" s="40"/>
      <c r="D24" s="41"/>
      <c r="E24" s="42"/>
      <c r="F24" s="43"/>
      <c r="G24" s="44"/>
      <c r="H24" s="45"/>
      <c r="I24" s="43"/>
      <c r="J24" s="40"/>
      <c r="K24" s="42"/>
      <c r="L24" s="42"/>
      <c r="M24" s="42"/>
      <c r="N24" s="42"/>
      <c r="O24" s="45"/>
      <c r="P24" s="45"/>
      <c r="Q24" s="43"/>
      <c r="R24" s="48"/>
      <c r="S24" s="42"/>
      <c r="T24" s="42">
        <f>IF(R24="","",SUMIFS($E$5:$E$19984,$D$5:$D$19984,R24))</f>
      </c>
      <c r="U24" s="42">
        <f>IF(R24="","",SUMIFS($L$5:$L$19984,$K$5:$K$19984,R24))</f>
      </c>
      <c r="V24" s="42">
        <f t="shared" si="0"/>
      </c>
      <c r="W24" s="42"/>
      <c r="X24" s="42">
        <f t="shared" si="1"/>
      </c>
      <c r="Y24" s="42"/>
      <c r="Z24" s="39"/>
    </row>
    <row r="25" ht="19.95" customHeight="1" spans="2:26" x14ac:dyDescent="0.25">
      <c r="B25" s="39"/>
      <c r="C25" s="40"/>
      <c r="D25" s="41"/>
      <c r="E25" s="42"/>
      <c r="F25" s="43"/>
      <c r="G25" s="44"/>
      <c r="H25" s="45"/>
      <c r="I25" s="43"/>
      <c r="J25" s="40"/>
      <c r="K25" s="42"/>
      <c r="L25" s="42"/>
      <c r="M25" s="42"/>
      <c r="N25" s="42"/>
      <c r="O25" s="45"/>
      <c r="P25" s="45"/>
      <c r="Q25" s="43"/>
      <c r="R25" s="48"/>
      <c r="S25" s="42"/>
      <c r="T25" s="42">
        <f>IF(R25="","",SUMIFS($E$5:$E$19984,$D$5:$D$19984,R25))</f>
      </c>
      <c r="U25" s="42">
        <f>IF(R25="","",SUMIFS($L$5:$L$19984,$K$5:$K$19984,R25))</f>
      </c>
      <c r="V25" s="42">
        <f t="shared" si="0"/>
      </c>
      <c r="W25" s="42"/>
      <c r="X25" s="42">
        <f t="shared" si="1"/>
      </c>
      <c r="Y25" s="42"/>
      <c r="Z25" s="39"/>
    </row>
    <row r="26" ht="19.95" customHeight="1" spans="2:26" x14ac:dyDescent="0.25">
      <c r="B26" s="39"/>
      <c r="C26" s="40"/>
      <c r="D26" s="41"/>
      <c r="E26" s="42"/>
      <c r="F26" s="43"/>
      <c r="G26" s="44"/>
      <c r="H26" s="45"/>
      <c r="I26" s="43"/>
      <c r="J26" s="40"/>
      <c r="K26" s="42"/>
      <c r="L26" s="42"/>
      <c r="M26" s="42"/>
      <c r="N26" s="42"/>
      <c r="O26" s="45"/>
      <c r="P26" s="45"/>
      <c r="Q26" s="43"/>
      <c r="R26" s="48"/>
      <c r="S26" s="42"/>
      <c r="T26" s="42">
        <f>IF(R26="","",SUMIFS($E$5:$E$19984,$D$5:$D$19984,R26))</f>
      </c>
      <c r="U26" s="42">
        <f>IF(R26="","",SUMIFS($L$5:$L$19984,$K$5:$K$19984,R26))</f>
      </c>
      <c r="V26" s="42">
        <f t="shared" si="0"/>
      </c>
      <c r="W26" s="42"/>
      <c r="X26" s="42">
        <f t="shared" si="1"/>
      </c>
      <c r="Y26" s="42"/>
      <c r="Z26" s="39"/>
    </row>
    <row r="27" ht="19.95" customHeight="1" spans="2:26" x14ac:dyDescent="0.25">
      <c r="B27" s="39"/>
      <c r="C27" s="40"/>
      <c r="D27" s="41"/>
      <c r="E27" s="42"/>
      <c r="F27" s="43"/>
      <c r="G27" s="44"/>
      <c r="H27" s="45"/>
      <c r="I27" s="43"/>
      <c r="J27" s="40"/>
      <c r="K27" s="42"/>
      <c r="L27" s="42"/>
      <c r="M27" s="42"/>
      <c r="N27" s="42"/>
      <c r="O27" s="45"/>
      <c r="P27" s="45"/>
      <c r="Q27" s="43"/>
      <c r="R27" s="48"/>
      <c r="S27" s="42"/>
      <c r="T27" s="42">
        <f>IF(R27="","",SUMIFS($E$5:$E$19984,$D$5:$D$19984,R27))</f>
      </c>
      <c r="U27" s="42">
        <f>IF(R27="","",SUMIFS($L$5:$L$19984,$K$5:$K$19984,R27))</f>
      </c>
      <c r="V27" s="42">
        <f t="shared" si="0"/>
      </c>
      <c r="W27" s="42"/>
      <c r="X27" s="42">
        <f t="shared" si="1"/>
      </c>
      <c r="Y27" s="42"/>
      <c r="Z27" s="39"/>
    </row>
    <row r="28" ht="19.95" customHeight="1" spans="2:26" x14ac:dyDescent="0.25">
      <c r="B28" s="39"/>
      <c r="C28" s="40"/>
      <c r="D28" s="41"/>
      <c r="E28" s="42"/>
      <c r="F28" s="43"/>
      <c r="G28" s="44"/>
      <c r="H28" s="45"/>
      <c r="I28" s="43"/>
      <c r="J28" s="40"/>
      <c r="K28" s="42"/>
      <c r="L28" s="42"/>
      <c r="M28" s="42"/>
      <c r="N28" s="42"/>
      <c r="O28" s="45"/>
      <c r="P28" s="45"/>
      <c r="Q28" s="43"/>
      <c r="R28" s="48"/>
      <c r="S28" s="42"/>
      <c r="T28" s="42">
        <f>IF(R28="","",SUMIFS($E$5:$E$19984,$D$5:$D$19984,R28))</f>
      </c>
      <c r="U28" s="42">
        <f>IF(R28="","",SUMIFS($L$5:$L$19984,$K$5:$K$19984,R28))</f>
      </c>
      <c r="V28" s="42">
        <f t="shared" si="0"/>
      </c>
      <c r="W28" s="42"/>
      <c r="X28" s="42">
        <f t="shared" si="1"/>
      </c>
      <c r="Y28" s="42"/>
      <c r="Z28" s="39"/>
    </row>
    <row r="29" ht="19.95" customHeight="1" spans="2:26" x14ac:dyDescent="0.25">
      <c r="B29" s="39"/>
      <c r="C29" s="40"/>
      <c r="D29" s="41"/>
      <c r="E29" s="42"/>
      <c r="F29" s="43"/>
      <c r="G29" s="44"/>
      <c r="H29" s="45"/>
      <c r="I29" s="43"/>
      <c r="J29" s="40"/>
      <c r="K29" s="42"/>
      <c r="L29" s="42"/>
      <c r="M29" s="42"/>
      <c r="N29" s="42"/>
      <c r="O29" s="45"/>
      <c r="P29" s="45"/>
      <c r="Q29" s="43"/>
      <c r="R29" s="48"/>
      <c r="S29" s="42"/>
      <c r="T29" s="42">
        <f>IF(R29="","",SUMIFS($E$5:$E$19984,$D$5:$D$19984,R29))</f>
      </c>
      <c r="U29" s="42">
        <f>IF(R29="","",SUMIFS($L$5:$L$19984,$K$5:$K$19984,R29))</f>
      </c>
      <c r="V29" s="42">
        <f t="shared" si="0"/>
      </c>
      <c r="W29" s="42"/>
      <c r="X29" s="42">
        <f t="shared" si="1"/>
      </c>
      <c r="Y29" s="42"/>
      <c r="Z29" s="39"/>
    </row>
    <row r="30" ht="19.95" customHeight="1" spans="2:26" x14ac:dyDescent="0.25">
      <c r="B30" s="39"/>
      <c r="C30" s="40"/>
      <c r="D30" s="41"/>
      <c r="E30" s="42"/>
      <c r="F30" s="43"/>
      <c r="G30" s="44"/>
      <c r="H30" s="45"/>
      <c r="I30" s="43"/>
      <c r="J30" s="40"/>
      <c r="K30" s="42"/>
      <c r="L30" s="42"/>
      <c r="M30" s="42"/>
      <c r="N30" s="42"/>
      <c r="O30" s="45"/>
      <c r="P30" s="45"/>
      <c r="Q30" s="43"/>
      <c r="R30" s="48"/>
      <c r="S30" s="42"/>
      <c r="T30" s="42">
        <f>IF(R30="","",SUMIFS($E$5:$E$19984,$D$5:$D$19984,R30))</f>
      </c>
      <c r="U30" s="42">
        <f>IF(R30="","",SUMIFS($L$5:$L$19984,$K$5:$K$19984,R30))</f>
      </c>
      <c r="V30" s="42">
        <f t="shared" si="0"/>
      </c>
      <c r="W30" s="42"/>
      <c r="X30" s="42">
        <f t="shared" si="1"/>
      </c>
      <c r="Y30" s="42"/>
      <c r="Z30" s="39"/>
    </row>
    <row r="31" ht="19.95" customHeight="1" spans="2:26" x14ac:dyDescent="0.25">
      <c r="B31" s="39"/>
      <c r="C31" s="40"/>
      <c r="D31" s="41"/>
      <c r="E31" s="42"/>
      <c r="F31" s="43"/>
      <c r="G31" s="44"/>
      <c r="H31" s="45"/>
      <c r="I31" s="43"/>
      <c r="J31" s="40"/>
      <c r="K31" s="42"/>
      <c r="L31" s="42"/>
      <c r="M31" s="42"/>
      <c r="N31" s="42"/>
      <c r="O31" s="45"/>
      <c r="P31" s="45"/>
      <c r="Q31" s="43"/>
      <c r="R31" s="48"/>
      <c r="S31" s="42"/>
      <c r="T31" s="42">
        <f>IF(R31="","",SUMIFS($E$5:$E$19984,$D$5:$D$19984,R31))</f>
      </c>
      <c r="U31" s="42">
        <f>IF(R31="","",SUMIFS($L$5:$L$19984,$K$5:$K$19984,R31))</f>
      </c>
      <c r="V31" s="42">
        <f t="shared" si="0"/>
      </c>
      <c r="W31" s="42"/>
      <c r="X31" s="42">
        <f t="shared" si="1"/>
      </c>
      <c r="Y31" s="42"/>
      <c r="Z31" s="39"/>
    </row>
    <row r="32" ht="19.95" customHeight="1" spans="2:26" x14ac:dyDescent="0.25">
      <c r="B32" s="39"/>
      <c r="C32" s="40"/>
      <c r="D32" s="41"/>
      <c r="E32" s="42"/>
      <c r="F32" s="43"/>
      <c r="G32" s="44"/>
      <c r="H32" s="45"/>
      <c r="I32" s="43"/>
      <c r="J32" s="40"/>
      <c r="K32" s="42"/>
      <c r="L32" s="42"/>
      <c r="M32" s="42"/>
      <c r="N32" s="42"/>
      <c r="O32" s="45"/>
      <c r="P32" s="45"/>
      <c r="Q32" s="43"/>
      <c r="R32" s="48"/>
      <c r="S32" s="42"/>
      <c r="T32" s="42">
        <f>IF(R32="","",SUMIFS($E$5:$E$19984,$D$5:$D$19984,R32))</f>
      </c>
      <c r="U32" s="42">
        <f>IF(R32="","",SUMIFS($L$5:$L$19984,$K$5:$K$19984,R32))</f>
      </c>
      <c r="V32" s="42">
        <f t="shared" si="0"/>
      </c>
      <c r="W32" s="42"/>
      <c r="X32" s="42">
        <f t="shared" si="1"/>
      </c>
      <c r="Y32" s="42"/>
      <c r="Z32" s="39"/>
    </row>
    <row r="33" ht="19.95" customHeight="1" spans="2:26" x14ac:dyDescent="0.25">
      <c r="B33" s="39"/>
      <c r="C33" s="40"/>
      <c r="D33" s="41"/>
      <c r="E33" s="42"/>
      <c r="F33" s="43"/>
      <c r="G33" s="44"/>
      <c r="H33" s="45"/>
      <c r="I33" s="43"/>
      <c r="J33" s="40"/>
      <c r="K33" s="42"/>
      <c r="L33" s="42"/>
      <c r="M33" s="42"/>
      <c r="N33" s="42"/>
      <c r="O33" s="45"/>
      <c r="P33" s="45"/>
      <c r="Q33" s="43"/>
      <c r="R33" s="48"/>
      <c r="S33" s="42"/>
      <c r="T33" s="42">
        <f>IF(R33="","",SUMIFS($E$5:$E$19984,$D$5:$D$19984,R33))</f>
      </c>
      <c r="U33" s="42">
        <f>IF(R33="","",SUMIFS($L$5:$L$19984,$K$5:$K$19984,R33))</f>
      </c>
      <c r="V33" s="42">
        <f t="shared" si="0"/>
      </c>
      <c r="W33" s="42"/>
      <c r="X33" s="42">
        <f t="shared" si="1"/>
      </c>
      <c r="Y33" s="42"/>
      <c r="Z33" s="39"/>
    </row>
    <row r="34" ht="19.95" customHeight="1" spans="2:26" x14ac:dyDescent="0.25">
      <c r="B34" s="39"/>
      <c r="C34" s="40"/>
      <c r="D34" s="41"/>
      <c r="E34" s="42"/>
      <c r="F34" s="43"/>
      <c r="G34" s="44"/>
      <c r="H34" s="45"/>
      <c r="I34" s="43"/>
      <c r="J34" s="40"/>
      <c r="K34" s="42"/>
      <c r="L34" s="42"/>
      <c r="M34" s="42"/>
      <c r="N34" s="42"/>
      <c r="O34" s="45"/>
      <c r="P34" s="45"/>
      <c r="Q34" s="43"/>
      <c r="R34" s="48"/>
      <c r="S34" s="42"/>
      <c r="T34" s="42">
        <f>IF(R34="","",SUMIFS($E$5:$E$19984,$D$5:$D$19984,R34))</f>
      </c>
      <c r="U34" s="42">
        <f>IF(R34="","",SUMIFS($L$5:$L$19984,$K$5:$K$19984,R34))</f>
      </c>
      <c r="V34" s="42">
        <f t="shared" si="0"/>
      </c>
      <c r="W34" s="42"/>
      <c r="X34" s="42">
        <f t="shared" si="1"/>
      </c>
      <c r="Y34" s="42"/>
      <c r="Z34" s="39"/>
    </row>
    <row r="35" ht="19.95" customHeight="1" spans="2:26" x14ac:dyDescent="0.25">
      <c r="B35" s="39"/>
      <c r="C35" s="40"/>
      <c r="D35" s="41"/>
      <c r="E35" s="42"/>
      <c r="F35" s="43"/>
      <c r="G35" s="44"/>
      <c r="H35" s="45"/>
      <c r="I35" s="43"/>
      <c r="J35" s="40"/>
      <c r="K35" s="42"/>
      <c r="L35" s="42"/>
      <c r="M35" s="42"/>
      <c r="N35" s="42"/>
      <c r="O35" s="45"/>
      <c r="P35" s="45"/>
      <c r="Q35" s="43"/>
      <c r="R35" s="48"/>
      <c r="S35" s="42"/>
      <c r="T35" s="42">
        <f>IF(R35="","",SUMIFS($E$5:$E$19984,$D$5:$D$19984,R35))</f>
      </c>
      <c r="U35" s="42">
        <f>IF(R35="","",SUMIFS($L$5:$L$19984,$K$5:$K$19984,R35))</f>
      </c>
      <c r="V35" s="42">
        <f t="shared" si="0"/>
      </c>
      <c r="W35" s="42"/>
      <c r="X35" s="42">
        <f t="shared" si="1"/>
      </c>
      <c r="Y35" s="42"/>
      <c r="Z35" s="39"/>
    </row>
    <row r="36" ht="19.95" customHeight="1" spans="2:26" x14ac:dyDescent="0.25">
      <c r="B36" s="39"/>
      <c r="C36" s="40"/>
      <c r="D36" s="41"/>
      <c r="E36" s="42"/>
      <c r="F36" s="43"/>
      <c r="G36" s="44"/>
      <c r="H36" s="45"/>
      <c r="I36" s="43"/>
      <c r="J36" s="40"/>
      <c r="K36" s="42"/>
      <c r="L36" s="42"/>
      <c r="M36" s="42"/>
      <c r="N36" s="42"/>
      <c r="O36" s="45"/>
      <c r="P36" s="45"/>
      <c r="Q36" s="43"/>
      <c r="R36" s="48"/>
      <c r="S36" s="42"/>
      <c r="T36" s="42">
        <f>IF(R36="","",SUMIFS($E$5:$E$19984,$D$5:$D$19984,R36))</f>
      </c>
      <c r="U36" s="42">
        <f>IF(R36="","",SUMIFS($L$5:$L$19984,$K$5:$K$19984,R36))</f>
      </c>
      <c r="V36" s="42">
        <f t="shared" si="0"/>
      </c>
      <c r="W36" s="42"/>
      <c r="X36" s="42">
        <f t="shared" si="1"/>
      </c>
      <c r="Y36" s="42"/>
      <c r="Z36" s="39"/>
    </row>
    <row r="37" ht="19.95" customHeight="1" spans="2:26" x14ac:dyDescent="0.25">
      <c r="B37" s="39"/>
      <c r="C37" s="40"/>
      <c r="D37" s="41"/>
      <c r="E37" s="42"/>
      <c r="F37" s="43"/>
      <c r="G37" s="44"/>
      <c r="H37" s="45"/>
      <c r="I37" s="43"/>
      <c r="J37" s="40"/>
      <c r="K37" s="42"/>
      <c r="L37" s="42"/>
      <c r="M37" s="42"/>
      <c r="N37" s="42"/>
      <c r="O37" s="45"/>
      <c r="P37" s="45"/>
      <c r="Q37" s="43"/>
      <c r="R37" s="48"/>
      <c r="S37" s="42"/>
      <c r="T37" s="42">
        <f>IF(R37="","",SUMIFS($E$5:$E$19984,$D$5:$D$19984,R37))</f>
      </c>
      <c r="U37" s="42">
        <f>IF(R37="","",SUMIFS($L$5:$L$19984,$K$5:$K$19984,R37))</f>
      </c>
      <c r="V37" s="42">
        <f t="shared" si="0"/>
      </c>
      <c r="W37" s="42"/>
      <c r="X37" s="42">
        <f t="shared" si="1"/>
      </c>
      <c r="Y37" s="42"/>
      <c r="Z37" s="39"/>
    </row>
    <row r="38" ht="19.95" customHeight="1" spans="2:26" x14ac:dyDescent="0.25">
      <c r="B38" s="39"/>
      <c r="C38" s="40"/>
      <c r="D38" s="41"/>
      <c r="E38" s="42"/>
      <c r="F38" s="43"/>
      <c r="G38" s="44"/>
      <c r="H38" s="45"/>
      <c r="I38" s="43"/>
      <c r="J38" s="40"/>
      <c r="K38" s="42"/>
      <c r="L38" s="42"/>
      <c r="M38" s="42"/>
      <c r="N38" s="42"/>
      <c r="O38" s="45"/>
      <c r="P38" s="45"/>
      <c r="Q38" s="43"/>
      <c r="R38" s="48"/>
      <c r="S38" s="42"/>
      <c r="T38" s="42">
        <f>IF(R38="","",SUMIFS($E$5:$E$19984,$D$5:$D$19984,R38))</f>
      </c>
      <c r="U38" s="42">
        <f>IF(R38="","",SUMIFS($L$5:$L$19984,$K$5:$K$19984,R38))</f>
      </c>
      <c r="V38" s="42">
        <f t="shared" si="0"/>
      </c>
      <c r="W38" s="42"/>
      <c r="X38" s="42">
        <f t="shared" si="1"/>
      </c>
      <c r="Y38" s="42"/>
      <c r="Z38" s="39"/>
    </row>
    <row r="39" ht="19.95" customHeight="1" spans="2:26" x14ac:dyDescent="0.25">
      <c r="B39" s="39"/>
      <c r="C39" s="40"/>
      <c r="D39" s="41"/>
      <c r="E39" s="42"/>
      <c r="F39" s="43"/>
      <c r="G39" s="44"/>
      <c r="H39" s="45"/>
      <c r="I39" s="43"/>
      <c r="J39" s="40"/>
      <c r="K39" s="42"/>
      <c r="L39" s="42"/>
      <c r="M39" s="42"/>
      <c r="N39" s="42"/>
      <c r="O39" s="45"/>
      <c r="P39" s="45"/>
      <c r="Q39" s="43"/>
      <c r="R39" s="48"/>
      <c r="S39" s="42"/>
      <c r="T39" s="42">
        <f>IF(R39="","",SUMIFS($E$5:$E$19984,$D$5:$D$19984,R39))</f>
      </c>
      <c r="U39" s="42">
        <f>IF(R39="","",SUMIFS($L$5:$L$19984,$K$5:$K$19984,R39))</f>
      </c>
      <c r="V39" s="42">
        <f t="shared" si="0"/>
      </c>
      <c r="W39" s="42"/>
      <c r="X39" s="42">
        <f t="shared" si="1"/>
      </c>
      <c r="Y39" s="42"/>
      <c r="Z39" s="39"/>
    </row>
    <row r="40" ht="19.95" customHeight="1" spans="2:26" x14ac:dyDescent="0.25">
      <c r="B40" s="39"/>
      <c r="C40" s="40"/>
      <c r="D40" s="41"/>
      <c r="E40" s="42"/>
      <c r="F40" s="43"/>
      <c r="G40" s="44"/>
      <c r="H40" s="45"/>
      <c r="I40" s="43"/>
      <c r="J40" s="40"/>
      <c r="K40" s="42"/>
      <c r="L40" s="42"/>
      <c r="M40" s="42"/>
      <c r="N40" s="42"/>
      <c r="O40" s="45"/>
      <c r="P40" s="45"/>
      <c r="Q40" s="43"/>
      <c r="R40" s="48"/>
      <c r="S40" s="42"/>
      <c r="T40" s="42">
        <f>IF(R40="","",SUMIFS($E$5:$E$19984,$D$5:$D$19984,R40))</f>
      </c>
      <c r="U40" s="42">
        <f>IF(R40="","",SUMIFS($L$5:$L$19984,$K$5:$K$19984,R40))</f>
      </c>
      <c r="V40" s="42">
        <f t="shared" si="0"/>
      </c>
      <c r="W40" s="42"/>
      <c r="X40" s="42">
        <f t="shared" si="1"/>
      </c>
      <c r="Y40" s="42"/>
      <c r="Z40" s="39"/>
    </row>
    <row r="41" ht="19.95" customHeight="1" spans="2:26" x14ac:dyDescent="0.25">
      <c r="B41" s="39"/>
      <c r="C41" s="40"/>
      <c r="D41" s="41"/>
      <c r="E41" s="42"/>
      <c r="F41" s="43"/>
      <c r="G41" s="44"/>
      <c r="H41" s="45"/>
      <c r="I41" s="43"/>
      <c r="J41" s="40"/>
      <c r="K41" s="42"/>
      <c r="L41" s="42"/>
      <c r="M41" s="42"/>
      <c r="N41" s="42"/>
      <c r="O41" s="45"/>
      <c r="P41" s="45"/>
      <c r="Q41" s="43"/>
      <c r="R41" s="48"/>
      <c r="S41" s="42"/>
      <c r="T41" s="42">
        <f>IF(R41="","",SUMIFS($E$5:$E$19984,$D$5:$D$19984,R41))</f>
      </c>
      <c r="U41" s="42">
        <f>IF(R41="","",SUMIFS($L$5:$L$19984,$K$5:$K$19984,R41))</f>
      </c>
      <c r="V41" s="42">
        <f t="shared" si="0"/>
      </c>
      <c r="W41" s="42"/>
      <c r="X41" s="42">
        <f t="shared" si="1"/>
      </c>
      <c r="Y41" s="42"/>
      <c r="Z41" s="39"/>
    </row>
    <row r="42" ht="19.95" customHeight="1" spans="2:26" x14ac:dyDescent="0.25">
      <c r="B42" s="39"/>
      <c r="C42" s="40"/>
      <c r="D42" s="41"/>
      <c r="E42" s="42"/>
      <c r="F42" s="43"/>
      <c r="G42" s="44"/>
      <c r="H42" s="45"/>
      <c r="I42" s="43"/>
      <c r="J42" s="40"/>
      <c r="K42" s="42"/>
      <c r="L42" s="42"/>
      <c r="M42" s="42"/>
      <c r="N42" s="42"/>
      <c r="O42" s="45"/>
      <c r="P42" s="45"/>
      <c r="Q42" s="43"/>
      <c r="R42" s="48"/>
      <c r="S42" s="42"/>
      <c r="T42" s="42">
        <f>IF(R42="","",SUMIFS($E$5:$E$19984,$D$5:$D$19984,R42))</f>
      </c>
      <c r="U42" s="42">
        <f>IF(R42="","",SUMIFS($L$5:$L$19984,$K$5:$K$19984,R42))</f>
      </c>
      <c r="V42" s="42">
        <f t="shared" si="0"/>
      </c>
      <c r="W42" s="42"/>
      <c r="X42" s="42">
        <f t="shared" si="1"/>
      </c>
      <c r="Y42" s="42"/>
      <c r="Z42" s="39"/>
    </row>
    <row r="43" ht="19.95" customHeight="1" spans="2:26" x14ac:dyDescent="0.25">
      <c r="B43" s="39"/>
      <c r="C43" s="40"/>
      <c r="D43" s="41"/>
      <c r="E43" s="42"/>
      <c r="F43" s="43"/>
      <c r="G43" s="44"/>
      <c r="H43" s="45"/>
      <c r="I43" s="43"/>
      <c r="J43" s="40"/>
      <c r="K43" s="42"/>
      <c r="L43" s="42"/>
      <c r="M43" s="42"/>
      <c r="N43" s="42"/>
      <c r="O43" s="45"/>
      <c r="P43" s="45"/>
      <c r="Q43" s="43"/>
      <c r="R43" s="48"/>
      <c r="S43" s="42"/>
      <c r="T43" s="42">
        <f>IF(R43="","",SUMIFS($E$5:$E$19984,$D$5:$D$19984,R43))</f>
      </c>
      <c r="U43" s="42">
        <f>IF(R43="","",SUMIFS($L$5:$L$19984,$K$5:$K$19984,R43))</f>
      </c>
      <c r="V43" s="42">
        <f t="shared" si="0"/>
      </c>
      <c r="W43" s="42"/>
      <c r="X43" s="42">
        <f t="shared" si="1"/>
      </c>
      <c r="Y43" s="42"/>
      <c r="Z43" s="39"/>
    </row>
    <row r="44" ht="19.95" customHeight="1" spans="2:26" x14ac:dyDescent="0.25">
      <c r="B44" s="39"/>
      <c r="C44" s="40"/>
      <c r="D44" s="41"/>
      <c r="E44" s="42"/>
      <c r="F44" s="43"/>
      <c r="G44" s="44"/>
      <c r="H44" s="45"/>
      <c r="I44" s="43"/>
      <c r="J44" s="40"/>
      <c r="K44" s="42"/>
      <c r="L44" s="42"/>
      <c r="M44" s="42"/>
      <c r="N44" s="42"/>
      <c r="O44" s="45"/>
      <c r="P44" s="45"/>
      <c r="Q44" s="43"/>
      <c r="R44" s="48"/>
      <c r="S44" s="42"/>
      <c r="T44" s="42">
        <f>IF(R44="","",SUMIFS($E$5:$E$19984,$D$5:$D$19984,R44))</f>
      </c>
      <c r="U44" s="42">
        <f>IF(R44="","",SUMIFS($L$5:$L$19984,$K$5:$K$19984,R44))</f>
      </c>
      <c r="V44" s="42">
        <f t="shared" si="0"/>
      </c>
      <c r="W44" s="42"/>
      <c r="X44" s="42">
        <f t="shared" si="1"/>
      </c>
      <c r="Y44" s="42"/>
      <c r="Z44" s="39"/>
    </row>
    <row r="45" ht="19.95" customHeight="1" spans="2:26" x14ac:dyDescent="0.25">
      <c r="B45" s="39"/>
      <c r="C45" s="40"/>
      <c r="D45" s="41"/>
      <c r="E45" s="42"/>
      <c r="F45" s="43"/>
      <c r="G45" s="44"/>
      <c r="H45" s="45"/>
      <c r="I45" s="43"/>
      <c r="J45" s="40"/>
      <c r="K45" s="42"/>
      <c r="L45" s="42"/>
      <c r="M45" s="42"/>
      <c r="N45" s="42"/>
      <c r="O45" s="45"/>
      <c r="P45" s="45"/>
      <c r="Q45" s="43"/>
      <c r="R45" s="48"/>
      <c r="S45" s="42"/>
      <c r="T45" s="42">
        <f>IF(R45="","",SUMIFS($E$5:$E$19984,$D$5:$D$19984,R45))</f>
      </c>
      <c r="U45" s="42">
        <f>IF(R45="","",SUMIFS($L$5:$L$19984,$K$5:$K$19984,R45))</f>
      </c>
      <c r="V45" s="42">
        <f t="shared" si="0"/>
      </c>
      <c r="W45" s="42"/>
      <c r="X45" s="42">
        <f t="shared" si="1"/>
      </c>
      <c r="Y45" s="42"/>
      <c r="Z45" s="39"/>
    </row>
    <row r="46" ht="19.95" customHeight="1" spans="2:26" x14ac:dyDescent="0.25">
      <c r="B46" s="39"/>
      <c r="C46" s="40"/>
      <c r="D46" s="41"/>
      <c r="E46" s="42"/>
      <c r="F46" s="43"/>
      <c r="G46" s="44"/>
      <c r="H46" s="45"/>
      <c r="I46" s="43"/>
      <c r="J46" s="40"/>
      <c r="K46" s="42"/>
      <c r="L46" s="42"/>
      <c r="M46" s="42"/>
      <c r="N46" s="42"/>
      <c r="O46" s="45"/>
      <c r="P46" s="45"/>
      <c r="Q46" s="43"/>
      <c r="R46" s="48"/>
      <c r="S46" s="42"/>
      <c r="T46" s="42">
        <f>IF(R46="","",SUMIFS($E$5:$E$19984,$D$5:$D$19984,R46))</f>
      </c>
      <c r="U46" s="42">
        <f>IF(R46="","",SUMIFS($L$5:$L$19984,$K$5:$K$19984,R46))</f>
      </c>
      <c r="V46" s="42">
        <f t="shared" si="0"/>
      </c>
      <c r="W46" s="42"/>
      <c r="X46" s="42">
        <f t="shared" si="1"/>
      </c>
      <c r="Y46" s="42"/>
      <c r="Z46" s="39"/>
    </row>
    <row r="47" ht="17.25" customHeight="1" spans="2:26" x14ac:dyDescent="0.25">
      <c r="B47" s="39"/>
      <c r="C47" s="40"/>
      <c r="D47" s="41"/>
      <c r="E47" s="42"/>
      <c r="F47" s="43"/>
      <c r="G47" s="44"/>
      <c r="H47" s="45"/>
      <c r="I47" s="43"/>
      <c r="J47" s="40"/>
      <c r="K47" s="42"/>
      <c r="L47" s="42"/>
      <c r="M47" s="42"/>
      <c r="N47" s="42"/>
      <c r="O47" s="45"/>
      <c r="P47" s="45"/>
      <c r="Q47" s="43"/>
      <c r="R47" s="48"/>
      <c r="S47" s="42"/>
      <c r="T47" s="42">
        <f>IF(R47="","",SUMIFS($E$5:$E$19984,$D$5:$D$19984,R47))</f>
      </c>
      <c r="U47" s="42">
        <f>IF(R47="","",SUMIFS($L$5:$L$19984,$K$5:$K$19984,R47))</f>
      </c>
      <c r="V47" s="42">
        <f t="shared" si="0"/>
      </c>
      <c r="W47" s="42"/>
      <c r="X47" s="42">
        <f t="shared" si="1"/>
      </c>
      <c r="Y47" s="42"/>
      <c r="Z47" s="39"/>
    </row>
    <row r="48" ht="17.25" customHeight="1" spans="2:26" x14ac:dyDescent="0.25">
      <c r="B48" s="39"/>
      <c r="C48" s="40"/>
      <c r="D48" s="41"/>
      <c r="E48" s="42"/>
      <c r="F48" s="43"/>
      <c r="G48" s="44"/>
      <c r="H48" s="45"/>
      <c r="I48" s="43"/>
      <c r="J48" s="40"/>
      <c r="K48" s="42"/>
      <c r="L48" s="42"/>
      <c r="M48" s="42"/>
      <c r="N48" s="42"/>
      <c r="O48" s="45"/>
      <c r="P48" s="45"/>
      <c r="Q48" s="43"/>
      <c r="R48" s="48"/>
      <c r="S48" s="42"/>
      <c r="T48" s="42">
        <f>IF(R48="","",SUMIFS($E$5:$E$19984,$D$5:$D$19984,R48))</f>
      </c>
      <c r="U48" s="42">
        <f>IF(R48="","",SUMIFS($L$5:$L$19984,$K$5:$K$19984,R48))</f>
      </c>
      <c r="V48" s="42">
        <f t="shared" si="0"/>
      </c>
      <c r="W48" s="42"/>
      <c r="X48" s="42">
        <f t="shared" si="1"/>
      </c>
      <c r="Y48" s="42"/>
      <c r="Z48" s="39"/>
    </row>
    <row r="49" ht="17.25" customHeight="1" spans="2:26" x14ac:dyDescent="0.25">
      <c r="B49" s="39"/>
      <c r="C49" s="40"/>
      <c r="D49" s="41"/>
      <c r="E49" s="42"/>
      <c r="F49" s="43"/>
      <c r="G49" s="44"/>
      <c r="H49" s="45"/>
      <c r="I49" s="43"/>
      <c r="J49" s="40"/>
      <c r="K49" s="42"/>
      <c r="L49" s="42"/>
      <c r="M49" s="42"/>
      <c r="N49" s="42"/>
      <c r="O49" s="45"/>
      <c r="P49" s="45"/>
      <c r="Q49" s="43"/>
      <c r="R49" s="48"/>
      <c r="S49" s="42"/>
      <c r="T49" s="42">
        <f>IF(R49="","",SUMIFS($E$5:$E$19984,$D$5:$D$19984,R49))</f>
      </c>
      <c r="U49" s="42">
        <f>IF(R49="","",SUMIFS($L$5:$L$19984,$K$5:$K$19984,R49))</f>
      </c>
      <c r="V49" s="42">
        <f t="shared" si="0"/>
      </c>
      <c r="W49" s="42"/>
      <c r="X49" s="42">
        <f t="shared" si="1"/>
      </c>
      <c r="Y49" s="42"/>
      <c r="Z49" s="39"/>
    </row>
    <row r="50" ht="17.25" customHeight="1" spans="2:26" x14ac:dyDescent="0.25">
      <c r="B50" s="39"/>
      <c r="C50" s="40"/>
      <c r="D50" s="41"/>
      <c r="E50" s="42"/>
      <c r="F50" s="43"/>
      <c r="G50" s="44"/>
      <c r="H50" s="45"/>
      <c r="I50" s="43"/>
      <c r="J50" s="40"/>
      <c r="K50" s="42"/>
      <c r="L50" s="42"/>
      <c r="M50" s="42"/>
      <c r="N50" s="42"/>
      <c r="O50" s="45"/>
      <c r="P50" s="45"/>
      <c r="Q50" s="43"/>
      <c r="R50" s="48"/>
      <c r="S50" s="42"/>
      <c r="T50" s="42">
        <f>IF(R50="","",SUMIFS($E$5:$E$19984,$D$5:$D$19984,R50))</f>
      </c>
      <c r="U50" s="42">
        <f>IF(R50="","",SUMIFS($L$5:$L$19984,$K$5:$K$19984,R50))</f>
      </c>
      <c r="V50" s="42">
        <f t="shared" si="0"/>
      </c>
      <c r="W50" s="42"/>
      <c r="X50" s="42">
        <f t="shared" si="1"/>
      </c>
      <c r="Y50" s="42"/>
      <c r="Z50" s="39"/>
    </row>
    <row r="51" ht="17.25" customHeight="1" spans="2:26" x14ac:dyDescent="0.25">
      <c r="B51" s="39"/>
      <c r="C51" s="40"/>
      <c r="D51" s="41"/>
      <c r="E51" s="42"/>
      <c r="F51" s="43"/>
      <c r="G51" s="44"/>
      <c r="H51" s="45"/>
      <c r="I51" s="43"/>
      <c r="J51" s="40"/>
      <c r="K51" s="42"/>
      <c r="L51" s="42"/>
      <c r="M51" s="42"/>
      <c r="N51" s="42"/>
      <c r="O51" s="45"/>
      <c r="P51" s="45"/>
      <c r="Q51" s="43"/>
      <c r="R51" s="48"/>
      <c r="S51" s="42"/>
      <c r="T51" s="42">
        <f>IF(R51="","",SUMIFS($E$5:$E$19984,$D$5:$D$19984,R51))</f>
      </c>
      <c r="U51" s="42">
        <f>IF(R51="","",SUMIFS($L$5:$L$19984,$K$5:$K$19984,R51))</f>
      </c>
      <c r="V51" s="42">
        <f t="shared" si="0"/>
      </c>
      <c r="W51" s="42"/>
      <c r="X51" s="42">
        <f t="shared" si="1"/>
      </c>
      <c r="Y51" s="42"/>
      <c r="Z51" s="39"/>
    </row>
    <row r="52" ht="17.25" customHeight="1" spans="2:26" x14ac:dyDescent="0.25">
      <c r="B52" s="39"/>
      <c r="C52" s="40"/>
      <c r="D52" s="41"/>
      <c r="E52" s="42"/>
      <c r="F52" s="43"/>
      <c r="G52" s="44"/>
      <c r="H52" s="45"/>
      <c r="I52" s="43"/>
      <c r="J52" s="40"/>
      <c r="K52" s="42"/>
      <c r="L52" s="42"/>
      <c r="M52" s="42"/>
      <c r="N52" s="42"/>
      <c r="O52" s="45"/>
      <c r="P52" s="45"/>
      <c r="Q52" s="43"/>
      <c r="R52" s="48"/>
      <c r="S52" s="42"/>
      <c r="T52" s="42">
        <f>IF(R52="","",SUMIFS($E$5:$E$19984,$D$5:$D$19984,R52))</f>
      </c>
      <c r="U52" s="42">
        <f>IF(R52="","",SUMIFS($L$5:$L$19984,$K$5:$K$19984,R52))</f>
      </c>
      <c r="V52" s="42">
        <f t="shared" si="0"/>
      </c>
      <c r="W52" s="42"/>
      <c r="X52" s="42">
        <f t="shared" si="1"/>
      </c>
      <c r="Y52" s="42"/>
      <c r="Z52" s="39"/>
    </row>
    <row r="53" ht="17.25" customHeight="1" spans="2:26" x14ac:dyDescent="0.25">
      <c r="B53" s="39"/>
      <c r="C53" s="40"/>
      <c r="D53" s="41"/>
      <c r="E53" s="42"/>
      <c r="F53" s="43"/>
      <c r="G53" s="44"/>
      <c r="H53" s="45"/>
      <c r="I53" s="43"/>
      <c r="J53" s="40"/>
      <c r="K53" s="42"/>
      <c r="L53" s="42"/>
      <c r="M53" s="42"/>
      <c r="N53" s="42"/>
      <c r="O53" s="45"/>
      <c r="P53" s="45"/>
      <c r="Q53" s="43"/>
      <c r="R53" s="48"/>
      <c r="S53" s="42"/>
      <c r="T53" s="42">
        <f>IF(R53="","",SUMIFS($E$5:$E$19984,$D$5:$D$19984,R53))</f>
      </c>
      <c r="U53" s="42">
        <f>IF(R53="","",SUMIFS($L$5:$L$19984,$K$5:$K$19984,R53))</f>
      </c>
      <c r="V53" s="42">
        <f t="shared" si="0"/>
      </c>
      <c r="W53" s="42"/>
      <c r="X53" s="42">
        <f t="shared" si="1"/>
      </c>
      <c r="Y53" s="42"/>
      <c r="Z53" s="39"/>
    </row>
    <row r="54" ht="17.25" customHeight="1" spans="2:26" x14ac:dyDescent="0.25">
      <c r="B54" s="39"/>
      <c r="C54" s="40"/>
      <c r="D54" s="41"/>
      <c r="E54" s="42"/>
      <c r="F54" s="43"/>
      <c r="G54" s="44"/>
      <c r="H54" s="45"/>
      <c r="I54" s="43"/>
      <c r="J54" s="40"/>
      <c r="K54" s="42"/>
      <c r="L54" s="42"/>
      <c r="M54" s="42"/>
      <c r="N54" s="42"/>
      <c r="O54" s="45"/>
      <c r="P54" s="45"/>
      <c r="Q54" s="43"/>
      <c r="R54" s="48"/>
      <c r="S54" s="42"/>
      <c r="T54" s="42">
        <f>IF(R54="","",SUMIFS($E$5:$E$19984,$D$5:$D$19984,R54))</f>
      </c>
      <c r="U54" s="42">
        <f>IF(R54="","",SUMIFS($L$5:$L$19984,$K$5:$K$19984,R54))</f>
      </c>
      <c r="V54" s="42">
        <f t="shared" si="0"/>
      </c>
      <c r="W54" s="42"/>
      <c r="X54" s="42">
        <f t="shared" si="1"/>
      </c>
      <c r="Y54" s="42"/>
      <c r="Z54" s="39"/>
    </row>
    <row r="55" ht="17.25" customHeight="1" spans="2:26" x14ac:dyDescent="0.25">
      <c r="B55" s="39"/>
      <c r="C55" s="40"/>
      <c r="D55" s="41"/>
      <c r="E55" s="42"/>
      <c r="F55" s="43"/>
      <c r="G55" s="44"/>
      <c r="H55" s="45"/>
      <c r="I55" s="43"/>
      <c r="J55" s="40"/>
      <c r="K55" s="42"/>
      <c r="L55" s="42"/>
      <c r="M55" s="42"/>
      <c r="N55" s="42"/>
      <c r="O55" s="45"/>
      <c r="P55" s="45"/>
      <c r="Q55" s="43"/>
      <c r="R55" s="48"/>
      <c r="S55" s="42"/>
      <c r="T55" s="42">
        <f>IF(R55="","",SUMIFS($E$5:$E$19984,$D$5:$D$19984,R55))</f>
      </c>
      <c r="U55" s="42">
        <f>IF(R55="","",SUMIFS($L$5:$L$19984,$K$5:$K$19984,R55))</f>
      </c>
      <c r="V55" s="42">
        <f t="shared" si="0"/>
      </c>
      <c r="W55" s="42"/>
      <c r="X55" s="42">
        <f t="shared" si="1"/>
      </c>
      <c r="Y55" s="42"/>
      <c r="Z55" s="39"/>
    </row>
    <row r="56" ht="17.25" customHeight="1" spans="2:26" x14ac:dyDescent="0.25">
      <c r="B56" s="39"/>
      <c r="C56" s="40"/>
      <c r="D56" s="41"/>
      <c r="E56" s="42"/>
      <c r="F56" s="43"/>
      <c r="G56" s="44"/>
      <c r="H56" s="45"/>
      <c r="I56" s="43"/>
      <c r="J56" s="40"/>
      <c r="K56" s="42"/>
      <c r="L56" s="42"/>
      <c r="M56" s="42"/>
      <c r="N56" s="42"/>
      <c r="O56" s="45"/>
      <c r="P56" s="45"/>
      <c r="Q56" s="43"/>
      <c r="R56" s="48"/>
      <c r="S56" s="42"/>
      <c r="T56" s="42">
        <f>IF(R56="","",SUMIFS($E$5:$E$19984,$D$5:$D$19984,R56))</f>
      </c>
      <c r="U56" s="42">
        <f>IF(R56="","",SUMIFS($L$5:$L$19984,$K$5:$K$19984,R56))</f>
      </c>
      <c r="V56" s="42">
        <f t="shared" si="0"/>
      </c>
      <c r="W56" s="42"/>
      <c r="X56" s="42">
        <f t="shared" si="1"/>
      </c>
      <c r="Y56" s="42"/>
      <c r="Z56" s="39"/>
    </row>
    <row r="57" ht="17.25" customHeight="1" spans="2:26" x14ac:dyDescent="0.25">
      <c r="B57" s="39"/>
      <c r="C57" s="40"/>
      <c r="D57" s="41"/>
      <c r="E57" s="42"/>
      <c r="F57" s="43"/>
      <c r="G57" s="44"/>
      <c r="H57" s="45"/>
      <c r="I57" s="43"/>
      <c r="J57" s="40"/>
      <c r="K57" s="42"/>
      <c r="L57" s="42"/>
      <c r="M57" s="42"/>
      <c r="N57" s="42"/>
      <c r="O57" s="45"/>
      <c r="P57" s="45"/>
      <c r="Q57" s="43"/>
      <c r="R57" s="48"/>
      <c r="S57" s="42"/>
      <c r="T57" s="42">
        <f>IF(R57="","",SUMIFS($E$5:$E$19984,$D$5:$D$19984,R57))</f>
      </c>
      <c r="U57" s="42">
        <f>IF(R57="","",SUMIFS($L$5:$L$19984,$K$5:$K$19984,R57))</f>
      </c>
      <c r="V57" s="42">
        <f t="shared" si="0"/>
      </c>
      <c r="W57" s="42"/>
      <c r="X57" s="42">
        <f t="shared" si="1"/>
      </c>
      <c r="Y57" s="42"/>
      <c r="Z57" s="39"/>
    </row>
    <row r="58" ht="17.25" customHeight="1" spans="2:26" x14ac:dyDescent="0.25">
      <c r="B58" s="39"/>
      <c r="C58" s="40"/>
      <c r="D58" s="41"/>
      <c r="E58" s="42"/>
      <c r="F58" s="43"/>
      <c r="G58" s="44"/>
      <c r="H58" s="45"/>
      <c r="I58" s="43"/>
      <c r="J58" s="40"/>
      <c r="K58" s="42"/>
      <c r="L58" s="42"/>
      <c r="M58" s="42"/>
      <c r="N58" s="42"/>
      <c r="O58" s="45"/>
      <c r="P58" s="45"/>
      <c r="Q58" s="43"/>
      <c r="R58" s="48"/>
      <c r="S58" s="42"/>
      <c r="T58" s="42">
        <f>IF(R58="","",SUMIFS($E$5:$E$19984,$D$5:$D$19984,R58))</f>
      </c>
      <c r="U58" s="42">
        <f>IF(R58="","",SUMIFS($L$5:$L$19984,$K$5:$K$19984,R58))</f>
      </c>
      <c r="V58" s="42">
        <f t="shared" si="0"/>
      </c>
      <c r="W58" s="42"/>
      <c r="X58" s="42">
        <f t="shared" si="1"/>
      </c>
      <c r="Y58" s="42"/>
      <c r="Z58" s="39"/>
    </row>
    <row r="59" ht="17.25" customHeight="1" spans="2:26" x14ac:dyDescent="0.25">
      <c r="B59" s="39"/>
      <c r="C59" s="40"/>
      <c r="D59" s="41"/>
      <c r="E59" s="42"/>
      <c r="F59" s="43"/>
      <c r="G59" s="44"/>
      <c r="H59" s="45"/>
      <c r="I59" s="43"/>
      <c r="J59" s="40"/>
      <c r="K59" s="42"/>
      <c r="L59" s="42"/>
      <c r="M59" s="42"/>
      <c r="N59" s="42"/>
      <c r="O59" s="45"/>
      <c r="P59" s="45"/>
      <c r="Q59" s="43"/>
      <c r="R59" s="48"/>
      <c r="S59" s="42"/>
      <c r="T59" s="42">
        <f>IF(R59="","",SUMIFS($E$5:$E$19984,$D$5:$D$19984,R59))</f>
      </c>
      <c r="U59" s="42">
        <f>IF(R59="","",SUMIFS($L$5:$L$19984,$K$5:$K$19984,R59))</f>
      </c>
      <c r="V59" s="42">
        <f t="shared" si="0"/>
      </c>
      <c r="W59" s="42"/>
      <c r="X59" s="42">
        <f t="shared" si="1"/>
      </c>
      <c r="Y59" s="42"/>
      <c r="Z59" s="39"/>
    </row>
    <row r="60" ht="17.25" customHeight="1" spans="2:26" x14ac:dyDescent="0.25">
      <c r="B60" s="39"/>
      <c r="C60" s="40"/>
      <c r="D60" s="41"/>
      <c r="E60" s="42"/>
      <c r="F60" s="43"/>
      <c r="G60" s="44"/>
      <c r="H60" s="45"/>
      <c r="I60" s="43"/>
      <c r="J60" s="40"/>
      <c r="K60" s="42"/>
      <c r="L60" s="42"/>
      <c r="M60" s="42"/>
      <c r="N60" s="42"/>
      <c r="O60" s="45"/>
      <c r="P60" s="45"/>
      <c r="Q60" s="43"/>
      <c r="R60" s="48"/>
      <c r="S60" s="42"/>
      <c r="T60" s="42">
        <f>IF(R60="","",SUMIFS($E$5:$E$19984,$D$5:$D$19984,R60))</f>
      </c>
      <c r="U60" s="42">
        <f>IF(R60="","",SUMIFS($L$5:$L$19984,$K$5:$K$19984,R60))</f>
      </c>
      <c r="V60" s="42">
        <f t="shared" si="0"/>
      </c>
      <c r="W60" s="42"/>
      <c r="X60" s="42">
        <f t="shared" si="1"/>
      </c>
      <c r="Y60" s="42"/>
      <c r="Z60" s="39"/>
    </row>
    <row r="61" ht="17.25" customHeight="1" spans="2:26" x14ac:dyDescent="0.25">
      <c r="B61" s="39"/>
      <c r="C61" s="40"/>
      <c r="D61" s="41"/>
      <c r="E61" s="42"/>
      <c r="F61" s="43"/>
      <c r="G61" s="44"/>
      <c r="H61" s="45"/>
      <c r="I61" s="43"/>
      <c r="J61" s="40"/>
      <c r="K61" s="42"/>
      <c r="L61" s="42"/>
      <c r="M61" s="42"/>
      <c r="N61" s="42"/>
      <c r="O61" s="45"/>
      <c r="P61" s="45"/>
      <c r="Q61" s="43"/>
      <c r="R61" s="48"/>
      <c r="S61" s="42"/>
      <c r="T61" s="42">
        <f>IF(R61="","",SUMIFS($E$5:$E$19984,$D$5:$D$19984,R61))</f>
      </c>
      <c r="U61" s="42">
        <f>IF(R61="","",SUMIFS($L$5:$L$19984,$K$5:$K$19984,R61))</f>
      </c>
      <c r="V61" s="42">
        <f t="shared" si="0"/>
      </c>
      <c r="W61" s="42"/>
      <c r="X61" s="42">
        <f t="shared" si="1"/>
      </c>
      <c r="Y61" s="42"/>
      <c r="Z61" s="39"/>
    </row>
    <row r="62" ht="17.25" customHeight="1" spans="2:26" x14ac:dyDescent="0.25">
      <c r="B62" s="39"/>
      <c r="C62" s="40"/>
      <c r="D62" s="41"/>
      <c r="E62" s="42"/>
      <c r="F62" s="43"/>
      <c r="G62" s="44"/>
      <c r="H62" s="45"/>
      <c r="I62" s="43"/>
      <c r="J62" s="40"/>
      <c r="K62" s="42"/>
      <c r="L62" s="42"/>
      <c r="M62" s="42"/>
      <c r="N62" s="42"/>
      <c r="O62" s="45"/>
      <c r="P62" s="45"/>
      <c r="Q62" s="43"/>
      <c r="R62" s="48"/>
      <c r="S62" s="42"/>
      <c r="T62" s="42">
        <f>IF(R62="","",SUMIFS($E$5:$E$19984,$D$5:$D$19984,R62))</f>
      </c>
      <c r="U62" s="42">
        <f>IF(R62="","",SUMIFS($L$5:$L$19984,$K$5:$K$19984,R62))</f>
      </c>
      <c r="V62" s="42">
        <f t="shared" si="0"/>
      </c>
      <c r="W62" s="42"/>
      <c r="X62" s="42">
        <f t="shared" si="1"/>
      </c>
      <c r="Y62" s="42"/>
      <c r="Z62" s="39"/>
    </row>
    <row r="63" ht="17.25" customHeight="1" spans="2:26" x14ac:dyDescent="0.25">
      <c r="B63" s="39"/>
      <c r="C63" s="40"/>
      <c r="D63" s="41"/>
      <c r="E63" s="42"/>
      <c r="F63" s="43"/>
      <c r="G63" s="44"/>
      <c r="H63" s="45"/>
      <c r="I63" s="43"/>
      <c r="J63" s="40"/>
      <c r="K63" s="42"/>
      <c r="L63" s="42"/>
      <c r="M63" s="42"/>
      <c r="N63" s="42"/>
      <c r="O63" s="45"/>
      <c r="P63" s="45"/>
      <c r="Q63" s="43"/>
      <c r="R63" s="48"/>
      <c r="S63" s="42"/>
      <c r="T63" s="42">
        <f>IF(R63="","",SUMIFS($E$5:$E$19984,$D$5:$D$19984,R63))</f>
      </c>
      <c r="U63" s="42">
        <f>IF(R63="","",SUMIFS($L$5:$L$19984,$K$5:$K$19984,R63))</f>
      </c>
      <c r="V63" s="42">
        <f t="shared" si="0"/>
      </c>
      <c r="W63" s="42"/>
      <c r="X63" s="42">
        <f t="shared" si="1"/>
      </c>
      <c r="Y63" s="42"/>
      <c r="Z63" s="39"/>
    </row>
    <row r="64" ht="17.25" customHeight="1" spans="2:26" x14ac:dyDescent="0.25">
      <c r="B64" s="39"/>
      <c r="C64" s="40"/>
      <c r="D64" s="41"/>
      <c r="E64" s="42"/>
      <c r="F64" s="43"/>
      <c r="G64" s="44"/>
      <c r="H64" s="45"/>
      <c r="I64" s="43"/>
      <c r="J64" s="40"/>
      <c r="K64" s="42"/>
      <c r="L64" s="42"/>
      <c r="M64" s="42"/>
      <c r="N64" s="42"/>
      <c r="O64" s="45"/>
      <c r="P64" s="45"/>
      <c r="Q64" s="43"/>
      <c r="R64" s="48"/>
      <c r="S64" s="42"/>
      <c r="T64" s="42">
        <f>IF(R64="","",SUMIFS($E$5:$E$19984,$D$5:$D$19984,R64))</f>
      </c>
      <c r="U64" s="42">
        <f>IF(R64="","",SUMIFS($L$5:$L$19984,$K$5:$K$19984,R64))</f>
      </c>
      <c r="V64" s="42">
        <f t="shared" si="0"/>
      </c>
      <c r="W64" s="42"/>
      <c r="X64" s="42">
        <f t="shared" si="1"/>
      </c>
      <c r="Y64" s="42"/>
      <c r="Z64" s="39"/>
    </row>
    <row r="65" ht="17.25" customHeight="1" spans="2:26" x14ac:dyDescent="0.25">
      <c r="B65" s="39"/>
      <c r="C65" s="40"/>
      <c r="D65" s="41"/>
      <c r="E65" s="42"/>
      <c r="F65" s="43"/>
      <c r="G65" s="44"/>
      <c r="H65" s="45"/>
      <c r="I65" s="43"/>
      <c r="J65" s="40"/>
      <c r="K65" s="42"/>
      <c r="L65" s="42"/>
      <c r="M65" s="42"/>
      <c r="N65" s="42"/>
      <c r="O65" s="45"/>
      <c r="P65" s="45"/>
      <c r="Q65" s="43"/>
      <c r="R65" s="48"/>
      <c r="S65" s="42"/>
      <c r="T65" s="42">
        <f>IF(R65="","",SUMIFS($E$5:$E$19984,$D$5:$D$19984,R65))</f>
      </c>
      <c r="U65" s="42">
        <f>IF(R65="","",SUMIFS($L$5:$L$19984,$K$5:$K$19984,R65))</f>
      </c>
      <c r="V65" s="42">
        <f t="shared" si="0"/>
      </c>
      <c r="W65" s="42"/>
      <c r="X65" s="42">
        <f t="shared" si="1"/>
      </c>
      <c r="Y65" s="42"/>
      <c r="Z65" s="39"/>
    </row>
    <row r="66" ht="17.25" customHeight="1" spans="2:26" x14ac:dyDescent="0.25">
      <c r="B66" s="39"/>
      <c r="C66" s="40"/>
      <c r="D66" s="41"/>
      <c r="E66" s="42"/>
      <c r="F66" s="43"/>
      <c r="G66" s="44"/>
      <c r="H66" s="45"/>
      <c r="I66" s="43"/>
      <c r="J66" s="40"/>
      <c r="K66" s="42"/>
      <c r="L66" s="42"/>
      <c r="M66" s="42"/>
      <c r="N66" s="42"/>
      <c r="O66" s="45"/>
      <c r="P66" s="45"/>
      <c r="Q66" s="43"/>
      <c r="R66" s="48"/>
      <c r="S66" s="42"/>
      <c r="T66" s="42">
        <f>IF(R66="","",SUMIFS($E$5:$E$19984,$D$5:$D$19984,R66))</f>
      </c>
      <c r="U66" s="42">
        <f>IF(R66="","",SUMIFS($L$5:$L$19984,$K$5:$K$19984,R66))</f>
      </c>
      <c r="V66" s="42">
        <f t="shared" si="0"/>
      </c>
      <c r="W66" s="42"/>
      <c r="X66" s="42">
        <f t="shared" si="1"/>
      </c>
      <c r="Y66" s="42"/>
      <c r="Z66" s="39"/>
    </row>
    <row r="67" ht="17.25" customHeight="1" spans="2:26" x14ac:dyDescent="0.25">
      <c r="B67" s="39"/>
      <c r="C67" s="40"/>
      <c r="D67" s="41"/>
      <c r="E67" s="42"/>
      <c r="F67" s="43"/>
      <c r="G67" s="44"/>
      <c r="H67" s="45"/>
      <c r="I67" s="43"/>
      <c r="J67" s="40"/>
      <c r="K67" s="42"/>
      <c r="L67" s="42"/>
      <c r="M67" s="42"/>
      <c r="N67" s="42"/>
      <c r="O67" s="45"/>
      <c r="P67" s="45"/>
      <c r="Q67" s="43"/>
      <c r="R67" s="48"/>
      <c r="S67" s="42"/>
      <c r="T67" s="42">
        <f>IF(R67="","",SUMIFS($E$5:$E$19984,$D$5:$D$19984,R67))</f>
      </c>
      <c r="U67" s="42">
        <f>IF(R67="","",SUMIFS($L$5:$L$19984,$K$5:$K$19984,R67))</f>
      </c>
      <c r="V67" s="42">
        <f t="shared" si="0"/>
      </c>
      <c r="W67" s="42"/>
      <c r="X67" s="42">
        <f t="shared" si="1"/>
      </c>
      <c r="Y67" s="42"/>
      <c r="Z67" s="39"/>
    </row>
    <row r="68" ht="17.25" customHeight="1" spans="2:26" x14ac:dyDescent="0.25">
      <c r="B68" s="39"/>
      <c r="C68" s="40"/>
      <c r="D68" s="41"/>
      <c r="E68" s="42"/>
      <c r="F68" s="43"/>
      <c r="G68" s="44"/>
      <c r="H68" s="45"/>
      <c r="I68" s="43"/>
      <c r="J68" s="40"/>
      <c r="K68" s="42"/>
      <c r="L68" s="42"/>
      <c r="M68" s="42"/>
      <c r="N68" s="42"/>
      <c r="O68" s="45"/>
      <c r="P68" s="45"/>
      <c r="Q68" s="43"/>
      <c r="R68" s="48"/>
      <c r="S68" s="42"/>
      <c r="T68" s="42">
        <f>IF(R68="","",SUMIFS($E$5:$E$19984,$D$5:$D$19984,R68))</f>
      </c>
      <c r="U68" s="42">
        <f>IF(R68="","",SUMIFS($L$5:$L$19984,$K$5:$K$19984,R68))</f>
      </c>
      <c r="V68" s="42">
        <f t="shared" si="0"/>
      </c>
      <c r="W68" s="42"/>
      <c r="X68" s="42">
        <f t="shared" si="1"/>
      </c>
      <c r="Y68" s="42"/>
      <c r="Z68" s="39"/>
    </row>
    <row r="69" ht="17.25" customHeight="1" spans="2:26" x14ac:dyDescent="0.25">
      <c r="B69" s="39"/>
      <c r="C69" s="40"/>
      <c r="D69" s="41"/>
      <c r="E69" s="42"/>
      <c r="F69" s="43"/>
      <c r="G69" s="44"/>
      <c r="H69" s="45"/>
      <c r="I69" s="43"/>
      <c r="J69" s="40"/>
      <c r="K69" s="42"/>
      <c r="L69" s="42"/>
      <c r="M69" s="42"/>
      <c r="N69" s="42"/>
      <c r="O69" s="45"/>
      <c r="P69" s="45"/>
      <c r="Q69" s="43"/>
      <c r="R69" s="48"/>
      <c r="S69" s="42"/>
      <c r="T69" s="42">
        <f>IF(R69="","",SUMIFS($E$5:$E$19984,$D$5:$D$19984,R69))</f>
      </c>
      <c r="U69" s="42">
        <f>IF(R69="","",SUMIFS($L$5:$L$19984,$K$5:$K$19984,R69))</f>
      </c>
      <c r="V69" s="42">
        <f t="shared" ref="V69:V132" si="2">IF(R69="","",T69-U69)</f>
      </c>
      <c r="W69" s="42"/>
      <c r="X69" s="42">
        <f t="shared" ref="X69:X132" si="3">IF(R69="","",IF(V69&lt;=W69,"需补仓","安全"))</f>
      </c>
      <c r="Y69" s="42"/>
      <c r="Z69" s="39"/>
    </row>
    <row r="70" ht="17.25" customHeight="1" spans="2:26" x14ac:dyDescent="0.25">
      <c r="B70" s="39"/>
      <c r="C70" s="40"/>
      <c r="D70" s="41"/>
      <c r="E70" s="42"/>
      <c r="F70" s="43"/>
      <c r="G70" s="44"/>
      <c r="H70" s="45"/>
      <c r="I70" s="43"/>
      <c r="J70" s="40"/>
      <c r="K70" s="42"/>
      <c r="L70" s="42"/>
      <c r="M70" s="42"/>
      <c r="N70" s="42"/>
      <c r="O70" s="45"/>
      <c r="P70" s="45"/>
      <c r="Q70" s="43"/>
      <c r="R70" s="48"/>
      <c r="S70" s="42"/>
      <c r="T70" s="42">
        <f>IF(R70="","",SUMIFS($E$5:$E$19984,$D$5:$D$19984,R70))</f>
      </c>
      <c r="U70" s="42">
        <f>IF(R70="","",SUMIFS($L$5:$L$19984,$K$5:$K$19984,R70))</f>
      </c>
      <c r="V70" s="42">
        <f t="shared" si="2"/>
      </c>
      <c r="W70" s="42"/>
      <c r="X70" s="42">
        <f t="shared" si="3"/>
      </c>
      <c r="Y70" s="42"/>
      <c r="Z70" s="39"/>
    </row>
    <row r="71" ht="17.25" customHeight="1" spans="2:26" x14ac:dyDescent="0.25">
      <c r="B71" s="39"/>
      <c r="C71" s="40"/>
      <c r="D71" s="41"/>
      <c r="E71" s="42"/>
      <c r="F71" s="43"/>
      <c r="G71" s="44"/>
      <c r="H71" s="45"/>
      <c r="I71" s="43"/>
      <c r="J71" s="40"/>
      <c r="K71" s="42"/>
      <c r="L71" s="42"/>
      <c r="M71" s="42"/>
      <c r="N71" s="42"/>
      <c r="O71" s="45"/>
      <c r="P71" s="45"/>
      <c r="Q71" s="43"/>
      <c r="R71" s="48"/>
      <c r="S71" s="42"/>
      <c r="T71" s="42">
        <f>IF(R71="","",SUMIFS($E$5:$E$19984,$D$5:$D$19984,R71))</f>
      </c>
      <c r="U71" s="42">
        <f>IF(R71="","",SUMIFS($L$5:$L$19984,$K$5:$K$19984,R71))</f>
      </c>
      <c r="V71" s="42">
        <f t="shared" si="2"/>
      </c>
      <c r="W71" s="42"/>
      <c r="X71" s="42">
        <f t="shared" si="3"/>
      </c>
      <c r="Y71" s="42"/>
      <c r="Z71" s="39"/>
    </row>
    <row r="72" ht="17.25" customHeight="1" spans="2:26" x14ac:dyDescent="0.25">
      <c r="B72" s="39"/>
      <c r="C72" s="40"/>
      <c r="D72" s="41"/>
      <c r="E72" s="42"/>
      <c r="F72" s="43"/>
      <c r="G72" s="44"/>
      <c r="H72" s="45"/>
      <c r="I72" s="43"/>
      <c r="J72" s="40"/>
      <c r="K72" s="42"/>
      <c r="L72" s="42"/>
      <c r="M72" s="42"/>
      <c r="N72" s="42"/>
      <c r="O72" s="45"/>
      <c r="P72" s="45"/>
      <c r="Q72" s="43"/>
      <c r="R72" s="48"/>
      <c r="S72" s="42"/>
      <c r="T72" s="42">
        <f>IF(R72="","",SUMIFS($E$5:$E$19984,$D$5:$D$19984,R72))</f>
      </c>
      <c r="U72" s="42">
        <f>IF(R72="","",SUMIFS($L$5:$L$19984,$K$5:$K$19984,R72))</f>
      </c>
      <c r="V72" s="42">
        <f t="shared" si="2"/>
      </c>
      <c r="W72" s="42"/>
      <c r="X72" s="42">
        <f t="shared" si="3"/>
      </c>
      <c r="Y72" s="42"/>
      <c r="Z72" s="39"/>
    </row>
    <row r="73" ht="17.25" customHeight="1" spans="2:26" x14ac:dyDescent="0.25">
      <c r="B73" s="39"/>
      <c r="C73" s="40"/>
      <c r="D73" s="41"/>
      <c r="E73" s="42"/>
      <c r="F73" s="43"/>
      <c r="G73" s="44"/>
      <c r="H73" s="45"/>
      <c r="I73" s="43"/>
      <c r="J73" s="40"/>
      <c r="K73" s="42"/>
      <c r="L73" s="42"/>
      <c r="M73" s="42"/>
      <c r="N73" s="42"/>
      <c r="O73" s="45"/>
      <c r="P73" s="45"/>
      <c r="Q73" s="43"/>
      <c r="R73" s="48"/>
      <c r="S73" s="42"/>
      <c r="T73" s="42">
        <f>IF(R73="","",SUMIFS($E$5:$E$19984,$D$5:$D$19984,R73))</f>
      </c>
      <c r="U73" s="42">
        <f>IF(R73="","",SUMIFS($L$5:$L$19984,$K$5:$K$19984,R73))</f>
      </c>
      <c r="V73" s="42">
        <f t="shared" si="2"/>
      </c>
      <c r="W73" s="42"/>
      <c r="X73" s="42">
        <f t="shared" si="3"/>
      </c>
      <c r="Y73" s="42"/>
      <c r="Z73" s="39"/>
    </row>
    <row r="74" ht="17.25" customHeight="1" spans="2:26" x14ac:dyDescent="0.25">
      <c r="B74" s="39"/>
      <c r="C74" s="40"/>
      <c r="D74" s="41"/>
      <c r="E74" s="42"/>
      <c r="F74" s="43"/>
      <c r="G74" s="44"/>
      <c r="H74" s="45"/>
      <c r="I74" s="43"/>
      <c r="J74" s="40"/>
      <c r="K74" s="42"/>
      <c r="L74" s="42"/>
      <c r="M74" s="42"/>
      <c r="N74" s="42"/>
      <c r="O74" s="45"/>
      <c r="P74" s="45"/>
      <c r="Q74" s="43"/>
      <c r="R74" s="48"/>
      <c r="S74" s="42"/>
      <c r="T74" s="42">
        <f>IF(R74="","",SUMIFS($E$5:$E$19984,$D$5:$D$19984,R74))</f>
      </c>
      <c r="U74" s="42">
        <f>IF(R74="","",SUMIFS($L$5:$L$19984,$K$5:$K$19984,R74))</f>
      </c>
      <c r="V74" s="42">
        <f t="shared" si="2"/>
      </c>
      <c r="W74" s="42"/>
      <c r="X74" s="42">
        <f t="shared" si="3"/>
      </c>
      <c r="Y74" s="42"/>
      <c r="Z74" s="39"/>
    </row>
    <row r="75" ht="17.25" customHeight="1" spans="2:26" x14ac:dyDescent="0.25">
      <c r="B75" s="39"/>
      <c r="C75" s="40"/>
      <c r="D75" s="41"/>
      <c r="E75" s="42"/>
      <c r="F75" s="43"/>
      <c r="G75" s="44"/>
      <c r="H75" s="45"/>
      <c r="I75" s="43"/>
      <c r="J75" s="40"/>
      <c r="K75" s="42"/>
      <c r="L75" s="42"/>
      <c r="M75" s="42"/>
      <c r="N75" s="42"/>
      <c r="O75" s="45"/>
      <c r="P75" s="45"/>
      <c r="Q75" s="43"/>
      <c r="R75" s="48"/>
      <c r="S75" s="42"/>
      <c r="T75" s="42">
        <f>IF(R75="","",SUMIFS($E$5:$E$19984,$D$5:$D$19984,R75))</f>
      </c>
      <c r="U75" s="42">
        <f>IF(R75="","",SUMIFS($L$5:$L$19984,$K$5:$K$19984,R75))</f>
      </c>
      <c r="V75" s="42">
        <f t="shared" si="2"/>
      </c>
      <c r="W75" s="42"/>
      <c r="X75" s="42">
        <f t="shared" si="3"/>
      </c>
      <c r="Y75" s="42"/>
      <c r="Z75" s="39"/>
    </row>
    <row r="76" ht="17.25" customHeight="1" spans="2:26" x14ac:dyDescent="0.25">
      <c r="B76" s="39"/>
      <c r="C76" s="40"/>
      <c r="D76" s="41"/>
      <c r="E76" s="42"/>
      <c r="F76" s="43"/>
      <c r="G76" s="44"/>
      <c r="H76" s="45"/>
      <c r="I76" s="43"/>
      <c r="J76" s="40"/>
      <c r="K76" s="42"/>
      <c r="L76" s="42"/>
      <c r="M76" s="42"/>
      <c r="N76" s="42"/>
      <c r="O76" s="45"/>
      <c r="P76" s="45"/>
      <c r="Q76" s="43"/>
      <c r="R76" s="48"/>
      <c r="S76" s="42"/>
      <c r="T76" s="42">
        <f>IF(R76="","",SUMIFS($E$5:$E$19984,$D$5:$D$19984,R76))</f>
      </c>
      <c r="U76" s="42">
        <f>IF(R76="","",SUMIFS($L$5:$L$19984,$K$5:$K$19984,R76))</f>
      </c>
      <c r="V76" s="42">
        <f t="shared" si="2"/>
      </c>
      <c r="W76" s="42"/>
      <c r="X76" s="42">
        <f t="shared" si="3"/>
      </c>
      <c r="Y76" s="42"/>
      <c r="Z76" s="39"/>
    </row>
    <row r="77" ht="17.25" customHeight="1" spans="2:26" x14ac:dyDescent="0.25">
      <c r="B77" s="39"/>
      <c r="C77" s="40"/>
      <c r="D77" s="41"/>
      <c r="E77" s="42"/>
      <c r="F77" s="43"/>
      <c r="G77" s="44"/>
      <c r="H77" s="45"/>
      <c r="I77" s="43"/>
      <c r="J77" s="40"/>
      <c r="K77" s="42"/>
      <c r="L77" s="42"/>
      <c r="M77" s="42"/>
      <c r="N77" s="42"/>
      <c r="O77" s="45"/>
      <c r="P77" s="45"/>
      <c r="Q77" s="43"/>
      <c r="R77" s="48"/>
      <c r="S77" s="42"/>
      <c r="T77" s="42">
        <f>IF(R77="","",SUMIFS($E$5:$E$19984,$D$5:$D$19984,R77))</f>
      </c>
      <c r="U77" s="42">
        <f>IF(R77="","",SUMIFS($L$5:$L$19984,$K$5:$K$19984,R77))</f>
      </c>
      <c r="V77" s="42">
        <f t="shared" si="2"/>
      </c>
      <c r="W77" s="42"/>
      <c r="X77" s="42">
        <f t="shared" si="3"/>
      </c>
      <c r="Y77" s="42"/>
      <c r="Z77" s="39"/>
    </row>
    <row r="78" ht="17.25" customHeight="1" spans="2:26" x14ac:dyDescent="0.25">
      <c r="B78" s="39"/>
      <c r="C78" s="40"/>
      <c r="D78" s="41"/>
      <c r="E78" s="42"/>
      <c r="F78" s="43"/>
      <c r="G78" s="44"/>
      <c r="H78" s="45"/>
      <c r="I78" s="43"/>
      <c r="J78" s="40"/>
      <c r="K78" s="42"/>
      <c r="L78" s="42"/>
      <c r="M78" s="42"/>
      <c r="N78" s="42"/>
      <c r="O78" s="45"/>
      <c r="P78" s="45"/>
      <c r="Q78" s="43"/>
      <c r="R78" s="48"/>
      <c r="S78" s="42"/>
      <c r="T78" s="42">
        <f>IF(R78="","",SUMIFS($E$5:$E$19984,$D$5:$D$19984,R78))</f>
      </c>
      <c r="U78" s="42">
        <f>IF(R78="","",SUMIFS($L$5:$L$19984,$K$5:$K$19984,R78))</f>
      </c>
      <c r="V78" s="42">
        <f t="shared" si="2"/>
      </c>
      <c r="W78" s="42"/>
      <c r="X78" s="42">
        <f t="shared" si="3"/>
      </c>
      <c r="Y78" s="42"/>
      <c r="Z78" s="39"/>
    </row>
    <row r="79" ht="17.25" customHeight="1" spans="2:26" x14ac:dyDescent="0.25">
      <c r="B79" s="39"/>
      <c r="C79" s="40"/>
      <c r="D79" s="41"/>
      <c r="E79" s="42"/>
      <c r="F79" s="43"/>
      <c r="G79" s="44"/>
      <c r="H79" s="45"/>
      <c r="I79" s="43"/>
      <c r="J79" s="40"/>
      <c r="K79" s="42"/>
      <c r="L79" s="42"/>
      <c r="M79" s="42"/>
      <c r="N79" s="42"/>
      <c r="O79" s="45"/>
      <c r="P79" s="45"/>
      <c r="Q79" s="43"/>
      <c r="R79" s="48"/>
      <c r="S79" s="42"/>
      <c r="T79" s="42">
        <f>IF(R79="","",SUMIFS($E$5:$E$19984,$D$5:$D$19984,R79))</f>
      </c>
      <c r="U79" s="42">
        <f>IF(R79="","",SUMIFS($L$5:$L$19984,$K$5:$K$19984,R79))</f>
      </c>
      <c r="V79" s="42">
        <f t="shared" si="2"/>
      </c>
      <c r="W79" s="42"/>
      <c r="X79" s="42">
        <f t="shared" si="3"/>
      </c>
      <c r="Y79" s="42"/>
      <c r="Z79" s="39"/>
    </row>
    <row r="80" ht="17.25" customHeight="1" spans="2:26" x14ac:dyDescent="0.25">
      <c r="B80" s="39"/>
      <c r="C80" s="40"/>
      <c r="D80" s="41"/>
      <c r="E80" s="42"/>
      <c r="F80" s="43"/>
      <c r="G80" s="44"/>
      <c r="H80" s="45"/>
      <c r="I80" s="43"/>
      <c r="J80" s="40"/>
      <c r="K80" s="42"/>
      <c r="L80" s="42"/>
      <c r="M80" s="42"/>
      <c r="N80" s="42"/>
      <c r="O80" s="45"/>
      <c r="P80" s="45"/>
      <c r="Q80" s="43"/>
      <c r="R80" s="48"/>
      <c r="S80" s="42"/>
      <c r="T80" s="42">
        <f>IF(R80="","",SUMIFS($E$5:$E$19984,$D$5:$D$19984,R80))</f>
      </c>
      <c r="U80" s="42">
        <f>IF(R80="","",SUMIFS($L$5:$L$19984,$K$5:$K$19984,R80))</f>
      </c>
      <c r="V80" s="42">
        <f t="shared" si="2"/>
      </c>
      <c r="W80" s="42"/>
      <c r="X80" s="42">
        <f t="shared" si="3"/>
      </c>
      <c r="Y80" s="42"/>
      <c r="Z80" s="39"/>
    </row>
    <row r="81" ht="17.25" customHeight="1" spans="2:26" x14ac:dyDescent="0.25">
      <c r="B81" s="39"/>
      <c r="C81" s="40"/>
      <c r="D81" s="41"/>
      <c r="E81" s="42"/>
      <c r="F81" s="43"/>
      <c r="G81" s="44"/>
      <c r="H81" s="45"/>
      <c r="I81" s="43"/>
      <c r="J81" s="40"/>
      <c r="K81" s="42"/>
      <c r="L81" s="42"/>
      <c r="M81" s="42"/>
      <c r="N81" s="42"/>
      <c r="O81" s="45"/>
      <c r="P81" s="45"/>
      <c r="Q81" s="43"/>
      <c r="R81" s="48"/>
      <c r="S81" s="42"/>
      <c r="T81" s="42">
        <f>IF(R81="","",SUMIFS($E$5:$E$19984,$D$5:$D$19984,R81))</f>
      </c>
      <c r="U81" s="42">
        <f>IF(R81="","",SUMIFS($L$5:$L$19984,$K$5:$K$19984,R81))</f>
      </c>
      <c r="V81" s="42">
        <f t="shared" si="2"/>
      </c>
      <c r="W81" s="42"/>
      <c r="X81" s="42">
        <f t="shared" si="3"/>
      </c>
      <c r="Y81" s="42"/>
      <c r="Z81" s="39"/>
    </row>
    <row r="82" ht="17.25" customHeight="1" spans="2:26" x14ac:dyDescent="0.25">
      <c r="B82" s="39"/>
      <c r="C82" s="40"/>
      <c r="D82" s="41"/>
      <c r="E82" s="42"/>
      <c r="F82" s="43"/>
      <c r="G82" s="44"/>
      <c r="H82" s="45"/>
      <c r="I82" s="43"/>
      <c r="J82" s="40"/>
      <c r="K82" s="42"/>
      <c r="L82" s="42"/>
      <c r="M82" s="42"/>
      <c r="N82" s="42"/>
      <c r="O82" s="45"/>
      <c r="P82" s="45"/>
      <c r="Q82" s="43"/>
      <c r="R82" s="48"/>
      <c r="S82" s="42"/>
      <c r="T82" s="42">
        <f>IF(R82="","",SUMIFS($E$5:$E$19984,$D$5:$D$19984,R82))</f>
      </c>
      <c r="U82" s="42">
        <f>IF(R82="","",SUMIFS($L$5:$L$19984,$K$5:$K$19984,R82))</f>
      </c>
      <c r="V82" s="42">
        <f t="shared" si="2"/>
      </c>
      <c r="W82" s="42"/>
      <c r="X82" s="42">
        <f t="shared" si="3"/>
      </c>
      <c r="Y82" s="42"/>
      <c r="Z82" s="39"/>
    </row>
    <row r="83" ht="17.25" customHeight="1" spans="2:26" x14ac:dyDescent="0.25">
      <c r="B83" s="39"/>
      <c r="C83" s="40"/>
      <c r="D83" s="41"/>
      <c r="E83" s="42"/>
      <c r="F83" s="43"/>
      <c r="G83" s="44"/>
      <c r="H83" s="45"/>
      <c r="I83" s="43"/>
      <c r="J83" s="40"/>
      <c r="K83" s="42"/>
      <c r="L83" s="42"/>
      <c r="M83" s="42"/>
      <c r="N83" s="42"/>
      <c r="O83" s="45"/>
      <c r="P83" s="45"/>
      <c r="Q83" s="43"/>
      <c r="R83" s="48"/>
      <c r="S83" s="42"/>
      <c r="T83" s="42">
        <f>IF(R83="","",SUMIFS($E$5:$E$19984,$D$5:$D$19984,R83))</f>
      </c>
      <c r="U83" s="42">
        <f>IF(R83="","",SUMIFS($L$5:$L$19984,$K$5:$K$19984,R83))</f>
      </c>
      <c r="V83" s="42">
        <f t="shared" si="2"/>
      </c>
      <c r="W83" s="42"/>
      <c r="X83" s="42">
        <f t="shared" si="3"/>
      </c>
      <c r="Y83" s="42"/>
      <c r="Z83" s="39"/>
    </row>
    <row r="84" ht="17.25" customHeight="1" spans="2:26" x14ac:dyDescent="0.25">
      <c r="B84" s="39"/>
      <c r="C84" s="40"/>
      <c r="D84" s="41"/>
      <c r="E84" s="42"/>
      <c r="F84" s="43"/>
      <c r="G84" s="44"/>
      <c r="H84" s="45"/>
      <c r="I84" s="43"/>
      <c r="J84" s="40"/>
      <c r="K84" s="42"/>
      <c r="L84" s="42"/>
      <c r="M84" s="42"/>
      <c r="N84" s="42"/>
      <c r="O84" s="45"/>
      <c r="P84" s="45"/>
      <c r="Q84" s="43"/>
      <c r="R84" s="48"/>
      <c r="S84" s="42"/>
      <c r="T84" s="42">
        <f>IF(R84="","",SUMIFS($E$5:$E$19984,$D$5:$D$19984,R84))</f>
      </c>
      <c r="U84" s="42">
        <f>IF(R84="","",SUMIFS($L$5:$L$19984,$K$5:$K$19984,R84))</f>
      </c>
      <c r="V84" s="42">
        <f t="shared" si="2"/>
      </c>
      <c r="W84" s="42"/>
      <c r="X84" s="42">
        <f t="shared" si="3"/>
      </c>
      <c r="Y84" s="42"/>
      <c r="Z84" s="39"/>
    </row>
    <row r="85" ht="17.25" customHeight="1" spans="2:26" x14ac:dyDescent="0.25">
      <c r="B85" s="39"/>
      <c r="C85" s="40"/>
      <c r="D85" s="41"/>
      <c r="E85" s="42"/>
      <c r="F85" s="43"/>
      <c r="G85" s="44"/>
      <c r="H85" s="45"/>
      <c r="I85" s="43"/>
      <c r="J85" s="40"/>
      <c r="K85" s="42"/>
      <c r="L85" s="42"/>
      <c r="M85" s="42"/>
      <c r="N85" s="42"/>
      <c r="O85" s="45"/>
      <c r="P85" s="45"/>
      <c r="Q85" s="43"/>
      <c r="R85" s="48"/>
      <c r="S85" s="42"/>
      <c r="T85" s="42">
        <f>IF(R85="","",SUMIFS($E$5:$E$19984,$D$5:$D$19984,R85))</f>
      </c>
      <c r="U85" s="42">
        <f>IF(R85="","",SUMIFS($L$5:$L$19984,$K$5:$K$19984,R85))</f>
      </c>
      <c r="V85" s="42">
        <f t="shared" si="2"/>
      </c>
      <c r="W85" s="42"/>
      <c r="X85" s="42">
        <f t="shared" si="3"/>
      </c>
      <c r="Y85" s="42"/>
      <c r="Z85" s="39"/>
    </row>
    <row r="86" ht="17.25" customHeight="1" spans="2:26" x14ac:dyDescent="0.25">
      <c r="B86" s="39"/>
      <c r="C86" s="40"/>
      <c r="D86" s="41"/>
      <c r="E86" s="42"/>
      <c r="F86" s="43"/>
      <c r="G86" s="44"/>
      <c r="H86" s="45"/>
      <c r="I86" s="43"/>
      <c r="J86" s="40"/>
      <c r="K86" s="42"/>
      <c r="L86" s="42"/>
      <c r="M86" s="42"/>
      <c r="N86" s="42"/>
      <c r="O86" s="45"/>
      <c r="P86" s="45"/>
      <c r="Q86" s="43"/>
      <c r="R86" s="48"/>
      <c r="S86" s="42"/>
      <c r="T86" s="42">
        <f>IF(R86="","",SUMIFS($E$5:$E$19984,$D$5:$D$19984,R86))</f>
      </c>
      <c r="U86" s="42">
        <f>IF(R86="","",SUMIFS($L$5:$L$19984,$K$5:$K$19984,R86))</f>
      </c>
      <c r="V86" s="42">
        <f t="shared" si="2"/>
      </c>
      <c r="W86" s="42"/>
      <c r="X86" s="42">
        <f t="shared" si="3"/>
      </c>
      <c r="Y86" s="42"/>
      <c r="Z86" s="39"/>
    </row>
    <row r="87" ht="17.25" customHeight="1" spans="2:26" x14ac:dyDescent="0.25">
      <c r="B87" s="39"/>
      <c r="C87" s="40"/>
      <c r="D87" s="41"/>
      <c r="E87" s="42"/>
      <c r="F87" s="43"/>
      <c r="G87" s="44"/>
      <c r="H87" s="45"/>
      <c r="I87" s="43"/>
      <c r="J87" s="40"/>
      <c r="K87" s="42"/>
      <c r="L87" s="42"/>
      <c r="M87" s="42"/>
      <c r="N87" s="42"/>
      <c r="O87" s="45"/>
      <c r="P87" s="45"/>
      <c r="Q87" s="43"/>
      <c r="R87" s="48"/>
      <c r="S87" s="42"/>
      <c r="T87" s="42">
        <f>IF(R87="","",SUMIFS($E$5:$E$19984,$D$5:$D$19984,R87))</f>
      </c>
      <c r="U87" s="42">
        <f>IF(R87="","",SUMIFS($L$5:$L$19984,$K$5:$K$19984,R87))</f>
      </c>
      <c r="V87" s="42">
        <f t="shared" si="2"/>
      </c>
      <c r="W87" s="42"/>
      <c r="X87" s="42">
        <f t="shared" si="3"/>
      </c>
      <c r="Y87" s="42"/>
      <c r="Z87" s="39"/>
    </row>
    <row r="88" ht="17.25" customHeight="1" spans="2:26" x14ac:dyDescent="0.25">
      <c r="B88" s="39"/>
      <c r="C88" s="40"/>
      <c r="D88" s="41"/>
      <c r="E88" s="42"/>
      <c r="F88" s="43"/>
      <c r="G88" s="44"/>
      <c r="H88" s="45"/>
      <c r="I88" s="43"/>
      <c r="J88" s="40"/>
      <c r="K88" s="42"/>
      <c r="L88" s="42"/>
      <c r="M88" s="42"/>
      <c r="N88" s="42"/>
      <c r="O88" s="45"/>
      <c r="P88" s="45"/>
      <c r="Q88" s="43"/>
      <c r="R88" s="48"/>
      <c r="S88" s="42"/>
      <c r="T88" s="42">
        <f>IF(R88="","",SUMIFS($E$5:$E$19984,$D$5:$D$19984,R88))</f>
      </c>
      <c r="U88" s="42">
        <f>IF(R88="","",SUMIFS($L$5:$L$19984,$K$5:$K$19984,R88))</f>
      </c>
      <c r="V88" s="42">
        <f t="shared" si="2"/>
      </c>
      <c r="W88" s="42"/>
      <c r="X88" s="42">
        <f t="shared" si="3"/>
      </c>
      <c r="Y88" s="42"/>
      <c r="Z88" s="39"/>
    </row>
    <row r="89" ht="17.25" customHeight="1" spans="2:26" x14ac:dyDescent="0.25">
      <c r="B89" s="39"/>
      <c r="C89" s="40"/>
      <c r="D89" s="41"/>
      <c r="E89" s="42"/>
      <c r="F89" s="43"/>
      <c r="G89" s="44"/>
      <c r="H89" s="45"/>
      <c r="I89" s="43"/>
      <c r="J89" s="40"/>
      <c r="K89" s="42"/>
      <c r="L89" s="42"/>
      <c r="M89" s="42"/>
      <c r="N89" s="42"/>
      <c r="O89" s="45"/>
      <c r="P89" s="45"/>
      <c r="Q89" s="43"/>
      <c r="R89" s="48"/>
      <c r="S89" s="42"/>
      <c r="T89" s="42">
        <f>IF(R89="","",SUMIFS($E$5:$E$19984,$D$5:$D$19984,R89))</f>
      </c>
      <c r="U89" s="42">
        <f>IF(R89="","",SUMIFS($L$5:$L$19984,$K$5:$K$19984,R89))</f>
      </c>
      <c r="V89" s="42">
        <f t="shared" si="2"/>
      </c>
      <c r="W89" s="42"/>
      <c r="X89" s="42">
        <f t="shared" si="3"/>
      </c>
      <c r="Y89" s="42"/>
      <c r="Z89" s="39"/>
    </row>
    <row r="90" ht="17.25" customHeight="1" spans="2:26" x14ac:dyDescent="0.25">
      <c r="B90" s="39"/>
      <c r="C90" s="40"/>
      <c r="D90" s="41"/>
      <c r="E90" s="42"/>
      <c r="F90" s="43"/>
      <c r="G90" s="44"/>
      <c r="H90" s="45"/>
      <c r="I90" s="43"/>
      <c r="J90" s="40"/>
      <c r="K90" s="42"/>
      <c r="L90" s="42"/>
      <c r="M90" s="42"/>
      <c r="N90" s="42"/>
      <c r="O90" s="45"/>
      <c r="P90" s="45"/>
      <c r="Q90" s="43"/>
      <c r="R90" s="48"/>
      <c r="S90" s="42"/>
      <c r="T90" s="42">
        <f>IF(R90="","",SUMIFS($E$5:$E$19984,$D$5:$D$19984,R90))</f>
      </c>
      <c r="U90" s="42">
        <f>IF(R90="","",SUMIFS($L$5:$L$19984,$K$5:$K$19984,R90))</f>
      </c>
      <c r="V90" s="42">
        <f t="shared" si="2"/>
      </c>
      <c r="W90" s="42"/>
      <c r="X90" s="42">
        <f t="shared" si="3"/>
      </c>
      <c r="Y90" s="42"/>
      <c r="Z90" s="39"/>
    </row>
    <row r="91" ht="17.25" customHeight="1" spans="2:26" x14ac:dyDescent="0.25">
      <c r="B91" s="39"/>
      <c r="C91" s="40"/>
      <c r="D91" s="41"/>
      <c r="E91" s="42"/>
      <c r="F91" s="43"/>
      <c r="G91" s="44"/>
      <c r="H91" s="45"/>
      <c r="I91" s="43"/>
      <c r="J91" s="40"/>
      <c r="K91" s="42"/>
      <c r="L91" s="42"/>
      <c r="M91" s="42"/>
      <c r="N91" s="42"/>
      <c r="O91" s="45"/>
      <c r="P91" s="45"/>
      <c r="Q91" s="43"/>
      <c r="R91" s="48"/>
      <c r="S91" s="42"/>
      <c r="T91" s="42">
        <f>IF(R91="","",SUMIFS($E$5:$E$19984,$D$5:$D$19984,R91))</f>
      </c>
      <c r="U91" s="42">
        <f>IF(R91="","",SUMIFS($L$5:$L$19984,$K$5:$K$19984,R91))</f>
      </c>
      <c r="V91" s="42">
        <f t="shared" si="2"/>
      </c>
      <c r="W91" s="42"/>
      <c r="X91" s="42">
        <f t="shared" si="3"/>
      </c>
      <c r="Y91" s="42"/>
      <c r="Z91" s="39"/>
    </row>
    <row r="92" ht="17.25" customHeight="1" spans="2:26" x14ac:dyDescent="0.25">
      <c r="B92" s="39"/>
      <c r="C92" s="40"/>
      <c r="D92" s="41"/>
      <c r="E92" s="42"/>
      <c r="F92" s="43"/>
      <c r="G92" s="44"/>
      <c r="H92" s="45"/>
      <c r="I92" s="43"/>
      <c r="J92" s="40"/>
      <c r="K92" s="42"/>
      <c r="L92" s="42"/>
      <c r="M92" s="42"/>
      <c r="N92" s="42"/>
      <c r="O92" s="45"/>
      <c r="P92" s="45"/>
      <c r="Q92" s="43"/>
      <c r="R92" s="48"/>
      <c r="S92" s="42"/>
      <c r="T92" s="42">
        <f>IF(R92="","",SUMIFS($E$5:$E$19984,$D$5:$D$19984,R92))</f>
      </c>
      <c r="U92" s="42">
        <f>IF(R92="","",SUMIFS($L$5:$L$19984,$K$5:$K$19984,R92))</f>
      </c>
      <c r="V92" s="42">
        <f t="shared" si="2"/>
      </c>
      <c r="W92" s="42"/>
      <c r="X92" s="42">
        <f t="shared" si="3"/>
      </c>
      <c r="Y92" s="42"/>
      <c r="Z92" s="39"/>
    </row>
    <row r="93" ht="17.25" customHeight="1" spans="2:26" x14ac:dyDescent="0.25">
      <c r="B93" s="39"/>
      <c r="C93" s="40"/>
      <c r="D93" s="41"/>
      <c r="E93" s="42"/>
      <c r="F93" s="43"/>
      <c r="G93" s="44"/>
      <c r="H93" s="45"/>
      <c r="I93" s="43"/>
      <c r="J93" s="40"/>
      <c r="K93" s="42"/>
      <c r="L93" s="42"/>
      <c r="M93" s="42"/>
      <c r="N93" s="42"/>
      <c r="O93" s="45"/>
      <c r="P93" s="45"/>
      <c r="Q93" s="43"/>
      <c r="R93" s="48"/>
      <c r="S93" s="42"/>
      <c r="T93" s="42">
        <f>IF(R93="","",SUMIFS($E$5:$E$19984,$D$5:$D$19984,R93))</f>
      </c>
      <c r="U93" s="42">
        <f>IF(R93="","",SUMIFS($L$5:$L$19984,$K$5:$K$19984,R93))</f>
      </c>
      <c r="V93" s="42">
        <f t="shared" si="2"/>
      </c>
      <c r="W93" s="42"/>
      <c r="X93" s="42">
        <f t="shared" si="3"/>
      </c>
      <c r="Y93" s="42"/>
      <c r="Z93" s="39"/>
    </row>
    <row r="94" ht="17.25" customHeight="1" spans="2:26" x14ac:dyDescent="0.25">
      <c r="B94" s="39"/>
      <c r="C94" s="40"/>
      <c r="D94" s="41"/>
      <c r="E94" s="42"/>
      <c r="F94" s="43"/>
      <c r="G94" s="44"/>
      <c r="H94" s="45"/>
      <c r="I94" s="43"/>
      <c r="J94" s="40"/>
      <c r="K94" s="42"/>
      <c r="L94" s="42"/>
      <c r="M94" s="42"/>
      <c r="N94" s="42"/>
      <c r="O94" s="45"/>
      <c r="P94" s="45"/>
      <c r="Q94" s="43"/>
      <c r="R94" s="48"/>
      <c r="S94" s="42"/>
      <c r="T94" s="42">
        <f>IF(R94="","",SUMIFS($E$5:$E$19984,$D$5:$D$19984,R94))</f>
      </c>
      <c r="U94" s="42">
        <f>IF(R94="","",SUMIFS($L$5:$L$19984,$K$5:$K$19984,R94))</f>
      </c>
      <c r="V94" s="42">
        <f t="shared" si="2"/>
      </c>
      <c r="W94" s="42"/>
      <c r="X94" s="42">
        <f t="shared" si="3"/>
      </c>
      <c r="Y94" s="42"/>
      <c r="Z94" s="39"/>
    </row>
    <row r="95" ht="17.25" customHeight="1" spans="2:26" x14ac:dyDescent="0.25">
      <c r="B95" s="39"/>
      <c r="C95" s="40"/>
      <c r="D95" s="41"/>
      <c r="E95" s="42"/>
      <c r="F95" s="43"/>
      <c r="G95" s="44"/>
      <c r="H95" s="45"/>
      <c r="I95" s="43"/>
      <c r="J95" s="40"/>
      <c r="K95" s="42"/>
      <c r="L95" s="42"/>
      <c r="M95" s="42"/>
      <c r="N95" s="42"/>
      <c r="O95" s="45"/>
      <c r="P95" s="45"/>
      <c r="Q95" s="43"/>
      <c r="R95" s="48"/>
      <c r="S95" s="42"/>
      <c r="T95" s="42">
        <f>IF(R95="","",SUMIFS($E$5:$E$19984,$D$5:$D$19984,R95))</f>
      </c>
      <c r="U95" s="42">
        <f>IF(R95="","",SUMIFS($L$5:$L$19984,$K$5:$K$19984,R95))</f>
      </c>
      <c r="V95" s="42">
        <f t="shared" si="2"/>
      </c>
      <c r="W95" s="42"/>
      <c r="X95" s="42">
        <f t="shared" si="3"/>
      </c>
      <c r="Y95" s="42"/>
      <c r="Z95" s="39"/>
    </row>
    <row r="96" ht="17.25" customHeight="1" spans="2:26" x14ac:dyDescent="0.25">
      <c r="B96" s="39"/>
      <c r="C96" s="40"/>
      <c r="D96" s="41"/>
      <c r="E96" s="42"/>
      <c r="F96" s="43"/>
      <c r="G96" s="44"/>
      <c r="H96" s="45"/>
      <c r="I96" s="43"/>
      <c r="J96" s="40"/>
      <c r="K96" s="42"/>
      <c r="L96" s="42"/>
      <c r="M96" s="42"/>
      <c r="N96" s="42"/>
      <c r="O96" s="45"/>
      <c r="P96" s="45"/>
      <c r="Q96" s="43"/>
      <c r="R96" s="48"/>
      <c r="S96" s="42"/>
      <c r="T96" s="42">
        <f>IF(R96="","",SUMIFS($E$5:$E$19984,$D$5:$D$19984,R96))</f>
      </c>
      <c r="U96" s="42">
        <f>IF(R96="","",SUMIFS($L$5:$L$19984,$K$5:$K$19984,R96))</f>
      </c>
      <c r="V96" s="42">
        <f t="shared" si="2"/>
      </c>
      <c r="W96" s="42"/>
      <c r="X96" s="42">
        <f t="shared" si="3"/>
      </c>
      <c r="Y96" s="42"/>
      <c r="Z96" s="39"/>
    </row>
    <row r="97" ht="17.25" customHeight="1" spans="2:26" x14ac:dyDescent="0.25">
      <c r="B97" s="39"/>
      <c r="C97" s="40"/>
      <c r="D97" s="41"/>
      <c r="E97" s="42"/>
      <c r="F97" s="43"/>
      <c r="G97" s="44"/>
      <c r="H97" s="45"/>
      <c r="I97" s="43"/>
      <c r="J97" s="40"/>
      <c r="K97" s="42"/>
      <c r="L97" s="42"/>
      <c r="M97" s="42"/>
      <c r="N97" s="42"/>
      <c r="O97" s="45"/>
      <c r="P97" s="45"/>
      <c r="Q97" s="43"/>
      <c r="R97" s="48"/>
      <c r="S97" s="42"/>
      <c r="T97" s="42">
        <f>IF(R97="","",SUMIFS($E$5:$E$19984,$D$5:$D$19984,R97))</f>
      </c>
      <c r="U97" s="42">
        <f>IF(R97="","",SUMIFS($L$5:$L$19984,$K$5:$K$19984,R97))</f>
      </c>
      <c r="V97" s="42">
        <f t="shared" si="2"/>
      </c>
      <c r="W97" s="42"/>
      <c r="X97" s="42">
        <f t="shared" si="3"/>
      </c>
      <c r="Y97" s="42"/>
      <c r="Z97" s="39"/>
    </row>
    <row r="98" ht="17.25" customHeight="1" spans="2:26" x14ac:dyDescent="0.25">
      <c r="B98" s="39"/>
      <c r="C98" s="40"/>
      <c r="D98" s="41"/>
      <c r="E98" s="42"/>
      <c r="F98" s="43"/>
      <c r="G98" s="44"/>
      <c r="H98" s="45"/>
      <c r="I98" s="43"/>
      <c r="J98" s="40"/>
      <c r="K98" s="42"/>
      <c r="L98" s="42"/>
      <c r="M98" s="42"/>
      <c r="N98" s="42"/>
      <c r="O98" s="45"/>
      <c r="P98" s="45"/>
      <c r="Q98" s="43"/>
      <c r="R98" s="48"/>
      <c r="S98" s="42"/>
      <c r="T98" s="42">
        <f>IF(R98="","",SUMIFS($E$5:$E$19984,$D$5:$D$19984,R98))</f>
      </c>
      <c r="U98" s="42">
        <f>IF(R98="","",SUMIFS($L$5:$L$19984,$K$5:$K$19984,R98))</f>
      </c>
      <c r="V98" s="42">
        <f t="shared" si="2"/>
      </c>
      <c r="W98" s="42"/>
      <c r="X98" s="42">
        <f t="shared" si="3"/>
      </c>
      <c r="Y98" s="42"/>
      <c r="Z98" s="39"/>
    </row>
    <row r="99" ht="17.25" customHeight="1" spans="2:26" x14ac:dyDescent="0.25">
      <c r="B99" s="39"/>
      <c r="C99" s="40"/>
      <c r="D99" s="41"/>
      <c r="E99" s="42"/>
      <c r="F99" s="43"/>
      <c r="G99" s="44"/>
      <c r="H99" s="45"/>
      <c r="I99" s="43"/>
      <c r="J99" s="40"/>
      <c r="K99" s="42"/>
      <c r="L99" s="42"/>
      <c r="M99" s="42"/>
      <c r="N99" s="42"/>
      <c r="O99" s="45"/>
      <c r="P99" s="45"/>
      <c r="Q99" s="43"/>
      <c r="R99" s="48"/>
      <c r="S99" s="42"/>
      <c r="T99" s="42">
        <f>IF(R99="","",SUMIFS($E$5:$E$19984,$D$5:$D$19984,R99))</f>
      </c>
      <c r="U99" s="42">
        <f>IF(R99="","",SUMIFS($L$5:$L$19984,$K$5:$K$19984,R99))</f>
      </c>
      <c r="V99" s="42">
        <f t="shared" si="2"/>
      </c>
      <c r="W99" s="42"/>
      <c r="X99" s="42">
        <f t="shared" si="3"/>
      </c>
      <c r="Y99" s="42"/>
      <c r="Z99" s="39"/>
    </row>
    <row r="100" ht="17.25" customHeight="1" spans="2:26" x14ac:dyDescent="0.25">
      <c r="B100" s="39"/>
      <c r="C100" s="40"/>
      <c r="D100" s="41"/>
      <c r="E100" s="42"/>
      <c r="F100" s="43"/>
      <c r="G100" s="44"/>
      <c r="H100" s="45"/>
      <c r="I100" s="43"/>
      <c r="J100" s="40"/>
      <c r="K100" s="42"/>
      <c r="L100" s="42"/>
      <c r="M100" s="42"/>
      <c r="N100" s="42"/>
      <c r="O100" s="45"/>
      <c r="P100" s="45"/>
      <c r="Q100" s="43"/>
      <c r="R100" s="48"/>
      <c r="S100" s="42"/>
      <c r="T100" s="42">
        <f>IF(R100="","",SUMIFS($E$5:$E$19984,$D$5:$D$19984,R100))</f>
      </c>
      <c r="U100" s="42">
        <f>IF(R100="","",SUMIFS($L$5:$L$19984,$K$5:$K$19984,R100))</f>
      </c>
      <c r="V100" s="42">
        <f t="shared" si="2"/>
      </c>
      <c r="W100" s="42"/>
      <c r="X100" s="42">
        <f t="shared" si="3"/>
      </c>
      <c r="Y100" s="42"/>
      <c r="Z100" s="39"/>
    </row>
    <row r="101" ht="17.25" customHeight="1" spans="2:26" x14ac:dyDescent="0.25">
      <c r="B101" s="39"/>
      <c r="C101" s="40"/>
      <c r="D101" s="41"/>
      <c r="E101" s="42"/>
      <c r="F101" s="43"/>
      <c r="G101" s="44"/>
      <c r="H101" s="45"/>
      <c r="I101" s="43"/>
      <c r="J101" s="40"/>
      <c r="K101" s="42"/>
      <c r="L101" s="42"/>
      <c r="M101" s="42"/>
      <c r="N101" s="42"/>
      <c r="O101" s="45"/>
      <c r="P101" s="45"/>
      <c r="Q101" s="43"/>
      <c r="R101" s="48"/>
      <c r="S101" s="42"/>
      <c r="T101" s="42">
        <f>IF(R101="","",SUMIFS($E$5:$E$19984,$D$5:$D$19984,R101))</f>
      </c>
      <c r="U101" s="42">
        <f>IF(R101="","",SUMIFS($L$5:$L$19984,$K$5:$K$19984,R101))</f>
      </c>
      <c r="V101" s="42">
        <f t="shared" si="2"/>
      </c>
      <c r="W101" s="42"/>
      <c r="X101" s="42">
        <f t="shared" si="3"/>
      </c>
      <c r="Y101" s="42"/>
      <c r="Z101" s="39"/>
    </row>
    <row r="102" ht="17.25" customHeight="1" spans="2:26" x14ac:dyDescent="0.25">
      <c r="B102" s="39"/>
      <c r="C102" s="40"/>
      <c r="D102" s="41"/>
      <c r="E102" s="42"/>
      <c r="F102" s="43"/>
      <c r="G102" s="44"/>
      <c r="H102" s="45"/>
      <c r="I102" s="43"/>
      <c r="J102" s="40"/>
      <c r="K102" s="42"/>
      <c r="L102" s="42"/>
      <c r="M102" s="42"/>
      <c r="N102" s="42"/>
      <c r="O102" s="45"/>
      <c r="P102" s="45"/>
      <c r="Q102" s="43"/>
      <c r="R102" s="48"/>
      <c r="S102" s="42"/>
      <c r="T102" s="42">
        <f>IF(R102="","",SUMIFS($E$5:$E$19984,$D$5:$D$19984,R102))</f>
      </c>
      <c r="U102" s="42">
        <f>IF(R102="","",SUMIFS($L$5:$L$19984,$K$5:$K$19984,R102))</f>
      </c>
      <c r="V102" s="42">
        <f t="shared" si="2"/>
      </c>
      <c r="W102" s="42"/>
      <c r="X102" s="42">
        <f t="shared" si="3"/>
      </c>
      <c r="Y102" s="42"/>
      <c r="Z102" s="39"/>
    </row>
    <row r="103" ht="17.25" customHeight="1" spans="2:26" x14ac:dyDescent="0.25">
      <c r="B103" s="39"/>
      <c r="C103" s="40"/>
      <c r="D103" s="41"/>
      <c r="E103" s="42"/>
      <c r="F103" s="43"/>
      <c r="G103" s="44"/>
      <c r="H103" s="45"/>
      <c r="I103" s="43"/>
      <c r="J103" s="40"/>
      <c r="K103" s="42"/>
      <c r="L103" s="42"/>
      <c r="M103" s="42"/>
      <c r="N103" s="42"/>
      <c r="O103" s="45"/>
      <c r="P103" s="45"/>
      <c r="Q103" s="43"/>
      <c r="R103" s="48"/>
      <c r="S103" s="42"/>
      <c r="T103" s="42">
        <f>IF(R103="","",SUMIFS($E$5:$E$19984,$D$5:$D$19984,R103))</f>
      </c>
      <c r="U103" s="42">
        <f>IF(R103="","",SUMIFS($L$5:$L$19984,$K$5:$K$19984,R103))</f>
      </c>
      <c r="V103" s="42">
        <f t="shared" si="2"/>
      </c>
      <c r="W103" s="42"/>
      <c r="X103" s="42">
        <f t="shared" si="3"/>
      </c>
      <c r="Y103" s="42"/>
      <c r="Z103" s="39"/>
    </row>
    <row r="104" ht="17.25" customHeight="1" spans="2:26" x14ac:dyDescent="0.25">
      <c r="B104" s="39"/>
      <c r="C104" s="40"/>
      <c r="D104" s="41"/>
      <c r="E104" s="42"/>
      <c r="F104" s="43"/>
      <c r="G104" s="44"/>
      <c r="H104" s="45"/>
      <c r="I104" s="43"/>
      <c r="J104" s="40"/>
      <c r="K104" s="42"/>
      <c r="L104" s="42"/>
      <c r="M104" s="42"/>
      <c r="N104" s="42"/>
      <c r="O104" s="45"/>
      <c r="P104" s="45"/>
      <c r="Q104" s="43"/>
      <c r="R104" s="48"/>
      <c r="S104" s="42"/>
      <c r="T104" s="42">
        <f>IF(R104="","",SUMIFS($E$5:$E$19984,$D$5:$D$19984,R104))</f>
      </c>
      <c r="U104" s="42">
        <f>IF(R104="","",SUMIFS($L$5:$L$19984,$K$5:$K$19984,R104))</f>
      </c>
      <c r="V104" s="42">
        <f t="shared" si="2"/>
      </c>
      <c r="W104" s="42"/>
      <c r="X104" s="42">
        <f t="shared" si="3"/>
      </c>
      <c r="Y104" s="42"/>
      <c r="Z104" s="39"/>
    </row>
    <row r="105" ht="17.25" customHeight="1" spans="2:26" x14ac:dyDescent="0.25">
      <c r="B105" s="39"/>
      <c r="C105" s="40"/>
      <c r="D105" s="41"/>
      <c r="E105" s="42"/>
      <c r="F105" s="43"/>
      <c r="G105" s="44"/>
      <c r="H105" s="45"/>
      <c r="I105" s="43"/>
      <c r="J105" s="40"/>
      <c r="K105" s="42"/>
      <c r="L105" s="42"/>
      <c r="M105" s="42"/>
      <c r="N105" s="42"/>
      <c r="O105" s="45"/>
      <c r="P105" s="45"/>
      <c r="Q105" s="43"/>
      <c r="R105" s="48"/>
      <c r="S105" s="42"/>
      <c r="T105" s="42">
        <f>IF(R105="","",SUMIFS($E$5:$E$19984,$D$5:$D$19984,R105))</f>
      </c>
      <c r="U105" s="42">
        <f>IF(R105="","",SUMIFS($L$5:$L$19984,$K$5:$K$19984,R105))</f>
      </c>
      <c r="V105" s="42">
        <f t="shared" si="2"/>
      </c>
      <c r="W105" s="42"/>
      <c r="X105" s="42">
        <f t="shared" si="3"/>
      </c>
      <c r="Y105" s="42"/>
      <c r="Z105" s="39"/>
    </row>
    <row r="106" ht="17.25" customHeight="1" spans="2:26" x14ac:dyDescent="0.25">
      <c r="B106" s="39"/>
      <c r="C106" s="40"/>
      <c r="D106" s="41"/>
      <c r="E106" s="42"/>
      <c r="F106" s="43"/>
      <c r="G106" s="44"/>
      <c r="H106" s="45"/>
      <c r="I106" s="43"/>
      <c r="J106" s="40"/>
      <c r="K106" s="42"/>
      <c r="L106" s="42"/>
      <c r="M106" s="42"/>
      <c r="N106" s="42"/>
      <c r="O106" s="45"/>
      <c r="P106" s="45"/>
      <c r="Q106" s="43"/>
      <c r="R106" s="48"/>
      <c r="S106" s="42"/>
      <c r="T106" s="42">
        <f>IF(R106="","",SUMIFS($E$5:$E$19984,$D$5:$D$19984,R106))</f>
      </c>
      <c r="U106" s="42">
        <f>IF(R106="","",SUMIFS($L$5:$L$19984,$K$5:$K$19984,R106))</f>
      </c>
      <c r="V106" s="42">
        <f t="shared" si="2"/>
      </c>
      <c r="W106" s="42"/>
      <c r="X106" s="42">
        <f t="shared" si="3"/>
      </c>
      <c r="Y106" s="42"/>
      <c r="Z106" s="39"/>
    </row>
    <row r="107" ht="17.25" customHeight="1" spans="2:26" x14ac:dyDescent="0.25">
      <c r="B107" s="39"/>
      <c r="C107" s="40"/>
      <c r="D107" s="41"/>
      <c r="E107" s="42"/>
      <c r="F107" s="43"/>
      <c r="G107" s="44"/>
      <c r="H107" s="45"/>
      <c r="I107" s="43"/>
      <c r="J107" s="40"/>
      <c r="K107" s="42"/>
      <c r="L107" s="42"/>
      <c r="M107" s="42"/>
      <c r="N107" s="42"/>
      <c r="O107" s="45"/>
      <c r="P107" s="45"/>
      <c r="Q107" s="43"/>
      <c r="R107" s="48"/>
      <c r="S107" s="42"/>
      <c r="T107" s="42">
        <f>IF(R107="","",SUMIFS($E$5:$E$19984,$D$5:$D$19984,R107))</f>
      </c>
      <c r="U107" s="42">
        <f>IF(R107="","",SUMIFS($L$5:$L$19984,$K$5:$K$19984,R107))</f>
      </c>
      <c r="V107" s="42">
        <f t="shared" si="2"/>
      </c>
      <c r="W107" s="42"/>
      <c r="X107" s="42">
        <f t="shared" si="3"/>
      </c>
      <c r="Y107" s="42"/>
      <c r="Z107" s="39"/>
    </row>
    <row r="108" ht="17.25" customHeight="1" spans="2:26" x14ac:dyDescent="0.25">
      <c r="B108" s="39"/>
      <c r="C108" s="40"/>
      <c r="D108" s="41"/>
      <c r="E108" s="42"/>
      <c r="F108" s="43"/>
      <c r="G108" s="44"/>
      <c r="H108" s="45"/>
      <c r="I108" s="43"/>
      <c r="J108" s="40"/>
      <c r="K108" s="42"/>
      <c r="L108" s="42"/>
      <c r="M108" s="42"/>
      <c r="N108" s="42"/>
      <c r="O108" s="45"/>
      <c r="P108" s="45"/>
      <c r="Q108" s="43"/>
      <c r="R108" s="48"/>
      <c r="S108" s="42"/>
      <c r="T108" s="42">
        <f>IF(R108="","",SUMIFS($E$5:$E$19984,$D$5:$D$19984,R108))</f>
      </c>
      <c r="U108" s="42">
        <f>IF(R108="","",SUMIFS($L$5:$L$19984,$K$5:$K$19984,R108))</f>
      </c>
      <c r="V108" s="42">
        <f t="shared" si="2"/>
      </c>
      <c r="W108" s="42"/>
      <c r="X108" s="42">
        <f t="shared" si="3"/>
      </c>
      <c r="Y108" s="42"/>
      <c r="Z108" s="39"/>
    </row>
    <row r="109" ht="17.25" customHeight="1" spans="3:26" x14ac:dyDescent="0.25">
      <c r="C109" s="40"/>
      <c r="D109" s="41"/>
      <c r="E109" s="42"/>
      <c r="F109" s="43"/>
      <c r="G109" s="44"/>
      <c r="H109" s="45"/>
      <c r="I109" s="43"/>
      <c r="J109" s="40"/>
      <c r="K109" s="42"/>
      <c r="L109" s="42"/>
      <c r="M109" s="42"/>
      <c r="N109" s="42"/>
      <c r="O109" s="45"/>
      <c r="P109" s="45"/>
      <c r="Q109" s="43"/>
      <c r="R109" s="48"/>
      <c r="S109" s="42"/>
      <c r="T109" s="42">
        <f>IF(R109="","",SUMIFS($E$5:$E$19984,$D$5:$D$19984,R109))</f>
      </c>
      <c r="U109" s="42">
        <f>IF(R109="","",SUMIFS($L$5:$L$19984,$K$5:$K$19984,R109))</f>
      </c>
      <c r="V109" s="42">
        <f t="shared" si="2"/>
      </c>
      <c r="W109" s="42"/>
      <c r="X109" s="42">
        <f t="shared" si="3"/>
      </c>
      <c r="Y109" s="42"/>
      <c r="Z109" s="39"/>
    </row>
    <row r="110" ht="17.25" customHeight="1" spans="3:26" x14ac:dyDescent="0.25">
      <c r="C110" s="40"/>
      <c r="D110" s="41"/>
      <c r="E110" s="42"/>
      <c r="F110" s="43"/>
      <c r="G110" s="44"/>
      <c r="H110" s="45"/>
      <c r="I110" s="43"/>
      <c r="J110" s="40"/>
      <c r="K110" s="42"/>
      <c r="L110" s="42"/>
      <c r="M110" s="42"/>
      <c r="N110" s="42"/>
      <c r="O110" s="45"/>
      <c r="P110" s="45"/>
      <c r="Q110" s="43"/>
      <c r="R110" s="48"/>
      <c r="S110" s="42"/>
      <c r="T110" s="42">
        <f>IF(R110="","",SUMIFS($E$5:$E$19984,$D$5:$D$19984,R110))</f>
      </c>
      <c r="U110" s="42">
        <f>IF(R110="","",SUMIFS($L$5:$L$19984,$K$5:$K$19984,R110))</f>
      </c>
      <c r="V110" s="42">
        <f t="shared" si="2"/>
      </c>
      <c r="W110" s="42"/>
      <c r="X110" s="42">
        <f t="shared" si="3"/>
      </c>
      <c r="Y110" s="42"/>
      <c r="Z110" s="39"/>
    </row>
    <row r="111" ht="17.25" customHeight="1" spans="3:26" x14ac:dyDescent="0.25">
      <c r="C111" s="40"/>
      <c r="D111" s="41"/>
      <c r="E111" s="42"/>
      <c r="F111" s="43"/>
      <c r="G111" s="44"/>
      <c r="H111" s="45"/>
      <c r="I111" s="43"/>
      <c r="J111" s="40"/>
      <c r="K111" s="42"/>
      <c r="L111" s="42"/>
      <c r="M111" s="42"/>
      <c r="N111" s="42"/>
      <c r="O111" s="45"/>
      <c r="P111" s="45"/>
      <c r="Q111" s="43"/>
      <c r="R111" s="48"/>
      <c r="S111" s="42"/>
      <c r="T111" s="42">
        <f>IF(R111="","",SUMIFS($E$5:$E$19984,$D$5:$D$19984,R111))</f>
      </c>
      <c r="U111" s="42">
        <f>IF(R111="","",SUMIFS($L$5:$L$19984,$K$5:$K$19984,R111))</f>
      </c>
      <c r="V111" s="42">
        <f t="shared" si="2"/>
      </c>
      <c r="W111" s="42"/>
      <c r="X111" s="42">
        <f t="shared" si="3"/>
      </c>
      <c r="Y111" s="42"/>
      <c r="Z111" s="39"/>
    </row>
    <row r="112" ht="17.25" customHeight="1" spans="3:26" x14ac:dyDescent="0.25">
      <c r="C112" s="40"/>
      <c r="D112" s="41"/>
      <c r="E112" s="42"/>
      <c r="F112" s="43"/>
      <c r="G112" s="44"/>
      <c r="H112" s="45"/>
      <c r="I112" s="43"/>
      <c r="J112" s="40"/>
      <c r="K112" s="42"/>
      <c r="L112" s="42"/>
      <c r="M112" s="42"/>
      <c r="N112" s="42"/>
      <c r="O112" s="45"/>
      <c r="P112" s="45"/>
      <c r="Q112" s="43"/>
      <c r="R112" s="48"/>
      <c r="S112" s="42"/>
      <c r="T112" s="42">
        <f>IF(R112="","",SUMIFS($E$5:$E$19984,$D$5:$D$19984,R112))</f>
      </c>
      <c r="U112" s="42">
        <f>IF(R112="","",SUMIFS($L$5:$L$19984,$K$5:$K$19984,R112))</f>
      </c>
      <c r="V112" s="42">
        <f t="shared" si="2"/>
      </c>
      <c r="W112" s="42"/>
      <c r="X112" s="42">
        <f t="shared" si="3"/>
      </c>
      <c r="Y112" s="42"/>
      <c r="Z112" s="39"/>
    </row>
    <row r="113" ht="17.25" customHeight="1" spans="3:26" x14ac:dyDescent="0.25">
      <c r="C113" s="40"/>
      <c r="D113" s="41"/>
      <c r="E113" s="42"/>
      <c r="F113" s="43"/>
      <c r="G113" s="44"/>
      <c r="H113" s="45"/>
      <c r="I113" s="43"/>
      <c r="J113" s="40"/>
      <c r="K113" s="42"/>
      <c r="L113" s="42"/>
      <c r="M113" s="42"/>
      <c r="N113" s="42"/>
      <c r="O113" s="45"/>
      <c r="P113" s="45"/>
      <c r="Q113" s="43"/>
      <c r="R113" s="48"/>
      <c r="S113" s="42"/>
      <c r="T113" s="42">
        <f>IF(R113="","",SUMIFS($E$5:$E$19984,$D$5:$D$19984,R113))</f>
      </c>
      <c r="U113" s="42">
        <f>IF(R113="","",SUMIFS($L$5:$L$19984,$K$5:$K$19984,R113))</f>
      </c>
      <c r="V113" s="42">
        <f t="shared" si="2"/>
      </c>
      <c r="W113" s="42"/>
      <c r="X113" s="42">
        <f t="shared" si="3"/>
      </c>
      <c r="Y113" s="42"/>
      <c r="Z113" s="39"/>
    </row>
    <row r="114" ht="17.25" customHeight="1" spans="3:26" x14ac:dyDescent="0.25">
      <c r="C114" s="40"/>
      <c r="D114" s="41"/>
      <c r="E114" s="42"/>
      <c r="F114" s="43"/>
      <c r="G114" s="44"/>
      <c r="H114" s="45"/>
      <c r="I114" s="43"/>
      <c r="J114" s="40"/>
      <c r="K114" s="42"/>
      <c r="L114" s="42"/>
      <c r="M114" s="42"/>
      <c r="N114" s="42"/>
      <c r="O114" s="45"/>
      <c r="P114" s="45"/>
      <c r="Q114" s="43"/>
      <c r="R114" s="48"/>
      <c r="S114" s="42"/>
      <c r="T114" s="42">
        <f>IF(R114="","",SUMIFS($E$5:$E$19984,$D$5:$D$19984,R114))</f>
      </c>
      <c r="U114" s="42">
        <f>IF(R114="","",SUMIFS($L$5:$L$19984,$K$5:$K$19984,R114))</f>
      </c>
      <c r="V114" s="42">
        <f t="shared" si="2"/>
      </c>
      <c r="W114" s="42"/>
      <c r="X114" s="42">
        <f t="shared" si="3"/>
      </c>
      <c r="Y114" s="42"/>
      <c r="Z114" s="39"/>
    </row>
    <row r="115" ht="17.25" customHeight="1" spans="3:26" x14ac:dyDescent="0.25">
      <c r="C115" s="40"/>
      <c r="D115" s="41"/>
      <c r="E115" s="42"/>
      <c r="F115" s="43"/>
      <c r="G115" s="44"/>
      <c r="H115" s="45"/>
      <c r="I115" s="43"/>
      <c r="J115" s="40"/>
      <c r="K115" s="42"/>
      <c r="L115" s="42"/>
      <c r="M115" s="42"/>
      <c r="N115" s="42"/>
      <c r="O115" s="45"/>
      <c r="P115" s="45"/>
      <c r="Q115" s="43"/>
      <c r="R115" s="48"/>
      <c r="S115" s="42"/>
      <c r="T115" s="42">
        <f>IF(R115="","",SUMIFS($E$5:$E$19984,$D$5:$D$19984,R115))</f>
      </c>
      <c r="U115" s="42">
        <f>IF(R115="","",SUMIFS($L$5:$L$19984,$K$5:$K$19984,R115))</f>
      </c>
      <c r="V115" s="42">
        <f t="shared" si="2"/>
      </c>
      <c r="W115" s="42"/>
      <c r="X115" s="42">
        <f t="shared" si="3"/>
      </c>
      <c r="Y115" s="42"/>
      <c r="Z115" s="39"/>
    </row>
    <row r="116" ht="17.25" customHeight="1" spans="3:26" x14ac:dyDescent="0.25">
      <c r="C116" s="40"/>
      <c r="D116" s="41"/>
      <c r="E116" s="42"/>
      <c r="F116" s="43"/>
      <c r="G116" s="44"/>
      <c r="H116" s="45"/>
      <c r="I116" s="43"/>
      <c r="J116" s="40"/>
      <c r="K116" s="42"/>
      <c r="L116" s="42"/>
      <c r="M116" s="42"/>
      <c r="N116" s="42"/>
      <c r="O116" s="45"/>
      <c r="P116" s="45"/>
      <c r="Q116" s="43"/>
      <c r="R116" s="48"/>
      <c r="S116" s="42"/>
      <c r="T116" s="42">
        <f>IF(R116="","",SUMIFS($E$5:$E$19984,$D$5:$D$19984,R116))</f>
      </c>
      <c r="U116" s="42">
        <f>IF(R116="","",SUMIFS($L$5:$L$19984,$K$5:$K$19984,R116))</f>
      </c>
      <c r="V116" s="42">
        <f t="shared" si="2"/>
      </c>
      <c r="W116" s="42"/>
      <c r="X116" s="42">
        <f t="shared" si="3"/>
      </c>
      <c r="Y116" s="42"/>
      <c r="Z116" s="39"/>
    </row>
    <row r="117" ht="17.25" customHeight="1" spans="3:26" x14ac:dyDescent="0.25">
      <c r="C117" s="40"/>
      <c r="D117" s="41"/>
      <c r="E117" s="42"/>
      <c r="F117" s="43"/>
      <c r="G117" s="44"/>
      <c r="H117" s="45"/>
      <c r="I117" s="43"/>
      <c r="J117" s="40"/>
      <c r="K117" s="42"/>
      <c r="L117" s="42"/>
      <c r="M117" s="42"/>
      <c r="N117" s="42"/>
      <c r="O117" s="45"/>
      <c r="P117" s="45"/>
      <c r="Q117" s="43"/>
      <c r="R117" s="48"/>
      <c r="S117" s="42"/>
      <c r="T117" s="42">
        <f>IF(R117="","",SUMIFS($E$5:$E$19984,$D$5:$D$19984,R117))</f>
      </c>
      <c r="U117" s="42">
        <f>IF(R117="","",SUMIFS($L$5:$L$19984,$K$5:$K$19984,R117))</f>
      </c>
      <c r="V117" s="42">
        <f t="shared" si="2"/>
      </c>
      <c r="W117" s="42"/>
      <c r="X117" s="42">
        <f t="shared" si="3"/>
      </c>
      <c r="Y117" s="42"/>
      <c r="Z117" s="39"/>
    </row>
    <row r="118" ht="17.25" customHeight="1" spans="3:26" x14ac:dyDescent="0.25">
      <c r="C118" s="40"/>
      <c r="D118" s="41"/>
      <c r="E118" s="42"/>
      <c r="F118" s="43"/>
      <c r="G118" s="44"/>
      <c r="H118" s="45"/>
      <c r="I118" s="43"/>
      <c r="J118" s="40"/>
      <c r="K118" s="42"/>
      <c r="L118" s="42"/>
      <c r="M118" s="42"/>
      <c r="N118" s="42"/>
      <c r="O118" s="45"/>
      <c r="P118" s="45"/>
      <c r="Q118" s="43"/>
      <c r="R118" s="48"/>
      <c r="S118" s="42"/>
      <c r="T118" s="42">
        <f>IF(R118="","",SUMIFS($E$5:$E$19984,$D$5:$D$19984,R118))</f>
      </c>
      <c r="U118" s="42">
        <f>IF(R118="","",SUMIFS($L$5:$L$19984,$K$5:$K$19984,R118))</f>
      </c>
      <c r="V118" s="42">
        <f t="shared" si="2"/>
      </c>
      <c r="W118" s="42"/>
      <c r="X118" s="42">
        <f t="shared" si="3"/>
      </c>
      <c r="Y118" s="42"/>
      <c r="Z118" s="39"/>
    </row>
    <row r="119" ht="17.25" customHeight="1" spans="3:26" x14ac:dyDescent="0.25">
      <c r="C119" s="40"/>
      <c r="D119" s="41"/>
      <c r="E119" s="42"/>
      <c r="F119" s="43"/>
      <c r="G119" s="44"/>
      <c r="H119" s="45"/>
      <c r="I119" s="43"/>
      <c r="J119" s="40"/>
      <c r="K119" s="42"/>
      <c r="L119" s="42"/>
      <c r="M119" s="42"/>
      <c r="N119" s="42"/>
      <c r="O119" s="45"/>
      <c r="P119" s="45"/>
      <c r="Q119" s="43"/>
      <c r="R119" s="48"/>
      <c r="S119" s="42"/>
      <c r="T119" s="42">
        <f>IF(R119="","",SUMIFS($E$5:$E$19984,$D$5:$D$19984,R119))</f>
      </c>
      <c r="U119" s="42">
        <f>IF(R119="","",SUMIFS($L$5:$L$19984,$K$5:$K$19984,R119))</f>
      </c>
      <c r="V119" s="42">
        <f t="shared" si="2"/>
      </c>
      <c r="W119" s="42"/>
      <c r="X119" s="42">
        <f t="shared" si="3"/>
      </c>
      <c r="Y119" s="42"/>
      <c r="Z119" s="39"/>
    </row>
    <row r="120" ht="17.25" customHeight="1" spans="3:26" x14ac:dyDescent="0.25">
      <c r="C120" s="40"/>
      <c r="D120" s="41"/>
      <c r="E120" s="42"/>
      <c r="F120" s="43"/>
      <c r="G120" s="44"/>
      <c r="H120" s="45"/>
      <c r="I120" s="43"/>
      <c r="J120" s="40"/>
      <c r="K120" s="42"/>
      <c r="L120" s="42"/>
      <c r="M120" s="42"/>
      <c r="N120" s="42"/>
      <c r="O120" s="45"/>
      <c r="P120" s="45"/>
      <c r="Q120" s="43"/>
      <c r="R120" s="48"/>
      <c r="S120" s="42"/>
      <c r="T120" s="42">
        <f>IF(R120="","",SUMIFS($E$5:$E$19984,$D$5:$D$19984,R120))</f>
      </c>
      <c r="U120" s="42">
        <f>IF(R120="","",SUMIFS($L$5:$L$19984,$K$5:$K$19984,R120))</f>
      </c>
      <c r="V120" s="42">
        <f t="shared" si="2"/>
      </c>
      <c r="W120" s="42"/>
      <c r="X120" s="42">
        <f t="shared" si="3"/>
      </c>
      <c r="Y120" s="42"/>
      <c r="Z120" s="39"/>
    </row>
    <row r="121" ht="17.25" customHeight="1" spans="3:26" x14ac:dyDescent="0.25">
      <c r="C121" s="40"/>
      <c r="D121" s="41"/>
      <c r="E121" s="42"/>
      <c r="F121" s="43"/>
      <c r="G121" s="44"/>
      <c r="H121" s="45"/>
      <c r="I121" s="43"/>
      <c r="J121" s="40"/>
      <c r="K121" s="42"/>
      <c r="L121" s="42"/>
      <c r="M121" s="42"/>
      <c r="N121" s="42"/>
      <c r="O121" s="45"/>
      <c r="P121" s="45"/>
      <c r="Q121" s="43"/>
      <c r="R121" s="48"/>
      <c r="S121" s="42"/>
      <c r="T121" s="42">
        <f>IF(R121="","",SUMIFS($E$5:$E$19984,$D$5:$D$19984,R121))</f>
      </c>
      <c r="U121" s="42">
        <f>IF(R121="","",SUMIFS($L$5:$L$19984,$K$5:$K$19984,R121))</f>
      </c>
      <c r="V121" s="42">
        <f t="shared" si="2"/>
      </c>
      <c r="W121" s="42"/>
      <c r="X121" s="42">
        <f t="shared" si="3"/>
      </c>
      <c r="Y121" s="42"/>
      <c r="Z121" s="39"/>
    </row>
    <row r="122" ht="17.25" customHeight="1" spans="3:26" x14ac:dyDescent="0.25">
      <c r="C122" s="40"/>
      <c r="D122" s="41"/>
      <c r="E122" s="42"/>
      <c r="F122" s="43"/>
      <c r="G122" s="44"/>
      <c r="H122" s="45"/>
      <c r="I122" s="43"/>
      <c r="J122" s="40"/>
      <c r="K122" s="42"/>
      <c r="L122" s="42"/>
      <c r="M122" s="42"/>
      <c r="N122" s="42"/>
      <c r="O122" s="45"/>
      <c r="P122" s="45"/>
      <c r="Q122" s="43"/>
      <c r="R122" s="48"/>
      <c r="S122" s="42"/>
      <c r="T122" s="42">
        <f>IF(R122="","",SUMIFS($E$5:$E$19984,$D$5:$D$19984,R122))</f>
      </c>
      <c r="U122" s="42">
        <f>IF(R122="","",SUMIFS($L$5:$L$19984,$K$5:$K$19984,R122))</f>
      </c>
      <c r="V122" s="42">
        <f t="shared" si="2"/>
      </c>
      <c r="W122" s="42"/>
      <c r="X122" s="42">
        <f t="shared" si="3"/>
      </c>
      <c r="Y122" s="42"/>
      <c r="Z122" s="39"/>
    </row>
    <row r="123" ht="17.25" customHeight="1" spans="3:26" x14ac:dyDescent="0.25">
      <c r="C123" s="40"/>
      <c r="D123" s="41"/>
      <c r="E123" s="42"/>
      <c r="F123" s="43"/>
      <c r="G123" s="44"/>
      <c r="H123" s="45"/>
      <c r="I123" s="43"/>
      <c r="J123" s="40"/>
      <c r="K123" s="42"/>
      <c r="L123" s="42"/>
      <c r="M123" s="42"/>
      <c r="N123" s="42"/>
      <c r="O123" s="45"/>
      <c r="P123" s="45"/>
      <c r="Q123" s="43"/>
      <c r="R123" s="48"/>
      <c r="S123" s="42"/>
      <c r="T123" s="42">
        <f>IF(R123="","",SUMIFS($E$5:$E$19984,$D$5:$D$19984,R123))</f>
      </c>
      <c r="U123" s="42">
        <f>IF(R123="","",SUMIFS($L$5:$L$19984,$K$5:$K$19984,R123))</f>
      </c>
      <c r="V123" s="42">
        <f t="shared" si="2"/>
      </c>
      <c r="W123" s="42"/>
      <c r="X123" s="42">
        <f t="shared" si="3"/>
      </c>
      <c r="Y123" s="42"/>
      <c r="Z123" s="39"/>
    </row>
    <row r="124" ht="17.25" customHeight="1" spans="3:26" x14ac:dyDescent="0.25">
      <c r="C124" s="40"/>
      <c r="D124" s="41"/>
      <c r="E124" s="42"/>
      <c r="F124" s="43"/>
      <c r="G124" s="44"/>
      <c r="H124" s="45"/>
      <c r="I124" s="43"/>
      <c r="J124" s="40"/>
      <c r="K124" s="42"/>
      <c r="L124" s="42"/>
      <c r="M124" s="42"/>
      <c r="N124" s="42"/>
      <c r="O124" s="45"/>
      <c r="P124" s="45"/>
      <c r="Q124" s="43"/>
      <c r="R124" s="48"/>
      <c r="S124" s="42"/>
      <c r="T124" s="42">
        <f>IF(R124="","",SUMIFS($E$5:$E$19984,$D$5:$D$19984,R124))</f>
      </c>
      <c r="U124" s="42">
        <f>IF(R124="","",SUMIFS($L$5:$L$19984,$K$5:$K$19984,R124))</f>
      </c>
      <c r="V124" s="42">
        <f t="shared" si="2"/>
      </c>
      <c r="W124" s="42"/>
      <c r="X124" s="42">
        <f t="shared" si="3"/>
      </c>
      <c r="Y124" s="42"/>
      <c r="Z124" s="39"/>
    </row>
    <row r="125" ht="17.25" customHeight="1" spans="3:26" x14ac:dyDescent="0.25">
      <c r="C125" s="40"/>
      <c r="D125" s="41"/>
      <c r="E125" s="42"/>
      <c r="F125" s="43"/>
      <c r="G125" s="44"/>
      <c r="H125" s="45"/>
      <c r="I125" s="43"/>
      <c r="J125" s="40"/>
      <c r="K125" s="42"/>
      <c r="L125" s="42"/>
      <c r="M125" s="42"/>
      <c r="N125" s="42"/>
      <c r="O125" s="45"/>
      <c r="P125" s="45"/>
      <c r="Q125" s="43"/>
      <c r="R125" s="48"/>
      <c r="S125" s="42"/>
      <c r="T125" s="42">
        <f>IF(R125="","",SUMIFS($E$5:$E$19984,$D$5:$D$19984,R125))</f>
      </c>
      <c r="U125" s="42">
        <f>IF(R125="","",SUMIFS($L$5:$L$19984,$K$5:$K$19984,R125))</f>
      </c>
      <c r="V125" s="42">
        <f t="shared" si="2"/>
      </c>
      <c r="W125" s="42"/>
      <c r="X125" s="42">
        <f t="shared" si="3"/>
      </c>
      <c r="Y125" s="42"/>
      <c r="Z125" s="39"/>
    </row>
    <row r="126" ht="17.25" customHeight="1" spans="3:26" x14ac:dyDescent="0.25">
      <c r="C126" s="40"/>
      <c r="D126" s="41"/>
      <c r="E126" s="42"/>
      <c r="F126" s="43"/>
      <c r="G126" s="44"/>
      <c r="H126" s="45"/>
      <c r="I126" s="43"/>
      <c r="J126" s="40"/>
      <c r="K126" s="42"/>
      <c r="L126" s="42"/>
      <c r="M126" s="42"/>
      <c r="N126" s="42"/>
      <c r="O126" s="45"/>
      <c r="P126" s="45"/>
      <c r="Q126" s="43"/>
      <c r="R126" s="48"/>
      <c r="S126" s="42"/>
      <c r="T126" s="42">
        <f>IF(R126="","",SUMIFS($E$5:$E$19984,$D$5:$D$19984,R126))</f>
      </c>
      <c r="U126" s="42">
        <f>IF(R126="","",SUMIFS($L$5:$L$19984,$K$5:$K$19984,R126))</f>
      </c>
      <c r="V126" s="42">
        <f t="shared" si="2"/>
      </c>
      <c r="W126" s="42"/>
      <c r="X126" s="42">
        <f t="shared" si="3"/>
      </c>
      <c r="Y126" s="42"/>
      <c r="Z126" s="39"/>
    </row>
    <row r="127" ht="17.25" customHeight="1" spans="3:26" x14ac:dyDescent="0.25">
      <c r="C127" s="40"/>
      <c r="D127" s="41"/>
      <c r="E127" s="42"/>
      <c r="F127" s="43"/>
      <c r="G127" s="44"/>
      <c r="H127" s="45"/>
      <c r="I127" s="43"/>
      <c r="J127" s="40"/>
      <c r="K127" s="42"/>
      <c r="L127" s="42"/>
      <c r="M127" s="42"/>
      <c r="N127" s="42"/>
      <c r="O127" s="45"/>
      <c r="P127" s="45"/>
      <c r="Q127" s="43"/>
      <c r="R127" s="48"/>
      <c r="S127" s="42"/>
      <c r="T127" s="42">
        <f>IF(R127="","",SUMIFS($E$5:$E$19984,$D$5:$D$19984,R127))</f>
      </c>
      <c r="U127" s="42">
        <f>IF(R127="","",SUMIFS($L$5:$L$19984,$K$5:$K$19984,R127))</f>
      </c>
      <c r="V127" s="42">
        <f t="shared" si="2"/>
      </c>
      <c r="W127" s="42"/>
      <c r="X127" s="42">
        <f t="shared" si="3"/>
      </c>
      <c r="Y127" s="42"/>
      <c r="Z127" s="39"/>
    </row>
    <row r="128" ht="17.25" customHeight="1" spans="3:26" x14ac:dyDescent="0.25">
      <c r="C128" s="40"/>
      <c r="D128" s="41"/>
      <c r="E128" s="42"/>
      <c r="F128" s="43"/>
      <c r="G128" s="44"/>
      <c r="H128" s="45"/>
      <c r="I128" s="43"/>
      <c r="J128" s="40"/>
      <c r="K128" s="42"/>
      <c r="L128" s="42"/>
      <c r="M128" s="42"/>
      <c r="N128" s="42"/>
      <c r="O128" s="45"/>
      <c r="P128" s="45"/>
      <c r="Q128" s="43"/>
      <c r="R128" s="48"/>
      <c r="S128" s="42"/>
      <c r="T128" s="42">
        <f>IF(R128="","",SUMIFS($E$5:$E$19984,$D$5:$D$19984,R128))</f>
      </c>
      <c r="U128" s="42">
        <f>IF(R128="","",SUMIFS($L$5:$L$19984,$K$5:$K$19984,R128))</f>
      </c>
      <c r="V128" s="42">
        <f t="shared" si="2"/>
      </c>
      <c r="W128" s="42"/>
      <c r="X128" s="42">
        <f t="shared" si="3"/>
      </c>
      <c r="Y128" s="42"/>
      <c r="Z128" s="39"/>
    </row>
    <row r="129" ht="17.25" customHeight="1" spans="3:26" x14ac:dyDescent="0.25">
      <c r="C129" s="40"/>
      <c r="D129" s="41"/>
      <c r="E129" s="42"/>
      <c r="F129" s="43"/>
      <c r="G129" s="44"/>
      <c r="H129" s="45"/>
      <c r="I129" s="43"/>
      <c r="J129" s="40"/>
      <c r="K129" s="42"/>
      <c r="L129" s="42"/>
      <c r="M129" s="42"/>
      <c r="N129" s="42"/>
      <c r="O129" s="45"/>
      <c r="P129" s="45"/>
      <c r="Q129" s="43"/>
      <c r="R129" s="48"/>
      <c r="S129" s="42"/>
      <c r="T129" s="42">
        <f>IF(R129="","",SUMIFS($E$5:$E$19984,$D$5:$D$19984,R129))</f>
      </c>
      <c r="U129" s="42">
        <f>IF(R129="","",SUMIFS($L$5:$L$19984,$K$5:$K$19984,R129))</f>
      </c>
      <c r="V129" s="42">
        <f t="shared" si="2"/>
      </c>
      <c r="W129" s="42"/>
      <c r="X129" s="42">
        <f t="shared" si="3"/>
      </c>
      <c r="Y129" s="42"/>
      <c r="Z129" s="39"/>
    </row>
    <row r="130" ht="17.25" customHeight="1" spans="3:26" x14ac:dyDescent="0.25">
      <c r="C130" s="40"/>
      <c r="D130" s="41"/>
      <c r="E130" s="42"/>
      <c r="F130" s="43"/>
      <c r="G130" s="44"/>
      <c r="H130" s="45"/>
      <c r="I130" s="43"/>
      <c r="J130" s="40"/>
      <c r="K130" s="42"/>
      <c r="L130" s="42"/>
      <c r="M130" s="42"/>
      <c r="N130" s="42"/>
      <c r="O130" s="45"/>
      <c r="P130" s="45"/>
      <c r="Q130" s="43"/>
      <c r="R130" s="48"/>
      <c r="S130" s="42"/>
      <c r="T130" s="42">
        <f>IF(R130="","",SUMIFS($E$5:$E$19984,$D$5:$D$19984,R130))</f>
      </c>
      <c r="U130" s="42">
        <f>IF(R130="","",SUMIFS($L$5:$L$19984,$K$5:$K$19984,R130))</f>
      </c>
      <c r="V130" s="42">
        <f t="shared" si="2"/>
      </c>
      <c r="W130" s="42"/>
      <c r="X130" s="42">
        <f t="shared" si="3"/>
      </c>
      <c r="Y130" s="42"/>
      <c r="Z130" s="39"/>
    </row>
    <row r="131" ht="17.25" customHeight="1" spans="3:26" x14ac:dyDescent="0.25">
      <c r="C131" s="40"/>
      <c r="D131" s="41"/>
      <c r="E131" s="42"/>
      <c r="F131" s="43"/>
      <c r="G131" s="44"/>
      <c r="H131" s="45"/>
      <c r="I131" s="43"/>
      <c r="J131" s="40"/>
      <c r="K131" s="42"/>
      <c r="L131" s="42"/>
      <c r="M131" s="42"/>
      <c r="N131" s="42"/>
      <c r="O131" s="45"/>
      <c r="P131" s="45"/>
      <c r="Q131" s="43"/>
      <c r="R131" s="48"/>
      <c r="S131" s="42"/>
      <c r="T131" s="42">
        <f>IF(R131="","",SUMIFS($E$5:$E$19984,$D$5:$D$19984,R131))</f>
      </c>
      <c r="U131" s="42">
        <f>IF(R131="","",SUMIFS($L$5:$L$19984,$K$5:$K$19984,R131))</f>
      </c>
      <c r="V131" s="42">
        <f t="shared" si="2"/>
      </c>
      <c r="W131" s="42"/>
      <c r="X131" s="42">
        <f t="shared" si="3"/>
      </c>
      <c r="Y131" s="42"/>
      <c r="Z131" s="39"/>
    </row>
    <row r="132" ht="17.25" customHeight="1" spans="3:26" x14ac:dyDescent="0.25">
      <c r="C132" s="40"/>
      <c r="D132" s="41"/>
      <c r="E132" s="42"/>
      <c r="F132" s="43"/>
      <c r="G132" s="44"/>
      <c r="H132" s="45"/>
      <c r="I132" s="43"/>
      <c r="J132" s="40"/>
      <c r="K132" s="42"/>
      <c r="L132" s="42"/>
      <c r="M132" s="42"/>
      <c r="N132" s="42"/>
      <c r="O132" s="45"/>
      <c r="P132" s="45"/>
      <c r="Q132" s="43"/>
      <c r="R132" s="48"/>
      <c r="S132" s="42"/>
      <c r="T132" s="42">
        <f>IF(R132="","",SUMIFS($E$5:$E$19984,$D$5:$D$19984,R132))</f>
      </c>
      <c r="U132" s="42">
        <f>IF(R132="","",SUMIFS($L$5:$L$19984,$K$5:$K$19984,R132))</f>
      </c>
      <c r="V132" s="42">
        <f t="shared" si="2"/>
      </c>
      <c r="W132" s="42"/>
      <c r="X132" s="42">
        <f t="shared" si="3"/>
      </c>
      <c r="Y132" s="42"/>
      <c r="Z132" s="39"/>
    </row>
    <row r="133" ht="17.25" customHeight="1" spans="3:26" x14ac:dyDescent="0.25">
      <c r="C133" s="40"/>
      <c r="D133" s="41"/>
      <c r="E133" s="42"/>
      <c r="F133" s="43"/>
      <c r="G133" s="44"/>
      <c r="H133" s="45"/>
      <c r="I133" s="43"/>
      <c r="J133" s="40"/>
      <c r="K133" s="42"/>
      <c r="L133" s="42"/>
      <c r="M133" s="42"/>
      <c r="N133" s="42"/>
      <c r="O133" s="45"/>
      <c r="P133" s="45"/>
      <c r="Q133" s="43"/>
      <c r="R133" s="48"/>
      <c r="S133" s="42"/>
      <c r="T133" s="42">
        <f>IF(R133="","",SUMIFS($E$5:$E$19984,$D$5:$D$19984,R133))</f>
      </c>
      <c r="U133" s="42">
        <f>IF(R133="","",SUMIFS($L$5:$L$19984,$K$5:$K$19984,R133))</f>
      </c>
      <c r="V133" s="42">
        <f t="shared" ref="V133:V142" si="4">IF(R133="","",T133-U133)</f>
      </c>
      <c r="W133" s="42"/>
      <c r="X133" s="42">
        <f t="shared" ref="X133:X142" si="5">IF(R133="","",IF(V133&lt;=W133,"需补仓","安全"))</f>
      </c>
      <c r="Y133" s="42"/>
      <c r="Z133" s="39"/>
    </row>
    <row r="134" ht="17.25" customHeight="1" spans="3:26" x14ac:dyDescent="0.25">
      <c r="C134" s="40"/>
      <c r="D134" s="41"/>
      <c r="E134" s="42"/>
      <c r="F134" s="43"/>
      <c r="G134" s="44"/>
      <c r="H134" s="45"/>
      <c r="I134" s="43"/>
      <c r="J134" s="40"/>
      <c r="K134" s="42"/>
      <c r="L134" s="42"/>
      <c r="M134" s="42"/>
      <c r="N134" s="42"/>
      <c r="O134" s="45"/>
      <c r="P134" s="45"/>
      <c r="Q134" s="43"/>
      <c r="R134" s="48"/>
      <c r="S134" s="42"/>
      <c r="T134" s="42">
        <f>IF(R134="","",SUMIFS($E$5:$E$19984,$D$5:$D$19984,R134))</f>
      </c>
      <c r="U134" s="42">
        <f>IF(R134="","",SUMIFS($L$5:$L$19984,$K$5:$K$19984,R134))</f>
      </c>
      <c r="V134" s="42">
        <f t="shared" si="4"/>
      </c>
      <c r="W134" s="42"/>
      <c r="X134" s="42">
        <f t="shared" si="5"/>
      </c>
      <c r="Y134" s="42"/>
      <c r="Z134" s="39"/>
    </row>
    <row r="135" ht="17.25" customHeight="1" spans="3:26" x14ac:dyDescent="0.25">
      <c r="C135" s="40"/>
      <c r="D135" s="41"/>
      <c r="E135" s="42"/>
      <c r="F135" s="43"/>
      <c r="G135" s="44"/>
      <c r="H135" s="45"/>
      <c r="I135" s="43"/>
      <c r="J135" s="40"/>
      <c r="K135" s="42"/>
      <c r="L135" s="42"/>
      <c r="M135" s="42"/>
      <c r="N135" s="42"/>
      <c r="O135" s="45"/>
      <c r="P135" s="45"/>
      <c r="Q135" s="43"/>
      <c r="R135" s="48"/>
      <c r="S135" s="42"/>
      <c r="T135" s="42">
        <f>IF(R135="","",SUMIFS($E$5:$E$19984,$D$5:$D$19984,R135))</f>
      </c>
      <c r="U135" s="42">
        <f>IF(R135="","",SUMIFS($L$5:$L$19984,$K$5:$K$19984,R135))</f>
      </c>
      <c r="V135" s="42">
        <f t="shared" si="4"/>
      </c>
      <c r="W135" s="42"/>
      <c r="X135" s="42">
        <f t="shared" si="5"/>
      </c>
      <c r="Y135" s="42"/>
      <c r="Z135" s="39"/>
    </row>
    <row r="136" ht="17.25" customHeight="1" spans="3:26" x14ac:dyDescent="0.25">
      <c r="C136" s="40"/>
      <c r="D136" s="41"/>
      <c r="E136" s="42"/>
      <c r="F136" s="43"/>
      <c r="G136" s="44"/>
      <c r="H136" s="45"/>
      <c r="I136" s="43"/>
      <c r="J136" s="40"/>
      <c r="K136" s="42"/>
      <c r="L136" s="42"/>
      <c r="M136" s="42"/>
      <c r="N136" s="42"/>
      <c r="O136" s="45"/>
      <c r="P136" s="45"/>
      <c r="Q136" s="43"/>
      <c r="R136" s="48"/>
      <c r="S136" s="42"/>
      <c r="T136" s="42">
        <f>IF(R136="","",SUMIFS($E$5:$E$19984,$D$5:$D$19984,R136))</f>
      </c>
      <c r="U136" s="42">
        <f>IF(R136="","",SUMIFS($L$5:$L$19984,$K$5:$K$19984,R136))</f>
      </c>
      <c r="V136" s="42">
        <f t="shared" si="4"/>
      </c>
      <c r="W136" s="42"/>
      <c r="X136" s="42">
        <f t="shared" si="5"/>
      </c>
      <c r="Y136" s="42"/>
      <c r="Z136" s="39"/>
    </row>
    <row r="137" ht="17.25" customHeight="1" spans="3:26" x14ac:dyDescent="0.25">
      <c r="C137" s="40"/>
      <c r="D137" s="41"/>
      <c r="E137" s="42"/>
      <c r="F137" s="43"/>
      <c r="G137" s="44"/>
      <c r="H137" s="45"/>
      <c r="I137" s="43"/>
      <c r="J137" s="40"/>
      <c r="K137" s="42"/>
      <c r="L137" s="42"/>
      <c r="M137" s="42"/>
      <c r="N137" s="42"/>
      <c r="O137" s="45"/>
      <c r="P137" s="45"/>
      <c r="Q137" s="43"/>
      <c r="R137" s="48"/>
      <c r="S137" s="42"/>
      <c r="T137" s="42">
        <f>IF(R137="","",SUMIFS($E$5:$E$19984,$D$5:$D$19984,R137))</f>
      </c>
      <c r="U137" s="42">
        <f>IF(R137="","",SUMIFS($L$5:$L$19984,$K$5:$K$19984,R137))</f>
      </c>
      <c r="V137" s="42">
        <f t="shared" si="4"/>
      </c>
      <c r="W137" s="42"/>
      <c r="X137" s="42">
        <f t="shared" si="5"/>
      </c>
      <c r="Y137" s="42"/>
      <c r="Z137" s="39"/>
    </row>
    <row r="138" ht="17.25" customHeight="1" spans="3:26" x14ac:dyDescent="0.25">
      <c r="C138" s="40"/>
      <c r="D138" s="41"/>
      <c r="E138" s="42"/>
      <c r="F138" s="43"/>
      <c r="G138" s="44"/>
      <c r="H138" s="45"/>
      <c r="I138" s="43"/>
      <c r="J138" s="40"/>
      <c r="K138" s="42"/>
      <c r="L138" s="42"/>
      <c r="M138" s="42"/>
      <c r="N138" s="42"/>
      <c r="O138" s="45"/>
      <c r="P138" s="45"/>
      <c r="Q138" s="43"/>
      <c r="R138" s="48"/>
      <c r="S138" s="42"/>
      <c r="T138" s="42">
        <f>IF(R138="","",SUMIFS($E$5:$E$19984,$D$5:$D$19984,R138))</f>
      </c>
      <c r="U138" s="42">
        <f>IF(R138="","",SUMIFS($L$5:$L$19984,$K$5:$K$19984,R138))</f>
      </c>
      <c r="V138" s="42">
        <f t="shared" si="4"/>
      </c>
      <c r="W138" s="42"/>
      <c r="X138" s="42">
        <f t="shared" si="5"/>
      </c>
      <c r="Y138" s="42"/>
      <c r="Z138" s="39"/>
    </row>
    <row r="139" ht="17.25" customHeight="1" spans="3:26" x14ac:dyDescent="0.25">
      <c r="C139" s="40"/>
      <c r="D139" s="41"/>
      <c r="E139" s="42"/>
      <c r="F139" s="43"/>
      <c r="G139" s="44"/>
      <c r="H139" s="45"/>
      <c r="I139" s="43"/>
      <c r="J139" s="40"/>
      <c r="K139" s="42"/>
      <c r="L139" s="42"/>
      <c r="M139" s="42"/>
      <c r="N139" s="42"/>
      <c r="O139" s="45"/>
      <c r="P139" s="45"/>
      <c r="Q139" s="43"/>
      <c r="R139" s="48"/>
      <c r="S139" s="42"/>
      <c r="T139" s="42">
        <f>IF(R139="","",SUMIFS($E$5:$E$19984,$D$5:$D$19984,R139))</f>
      </c>
      <c r="U139" s="42">
        <f>IF(R139="","",SUMIFS($L$5:$L$19984,$K$5:$K$19984,R139))</f>
      </c>
      <c r="V139" s="42">
        <f t="shared" si="4"/>
      </c>
      <c r="W139" s="42"/>
      <c r="X139" s="42">
        <f t="shared" si="5"/>
      </c>
      <c r="Y139" s="42"/>
      <c r="Z139" s="39"/>
    </row>
    <row r="140" ht="17.25" customHeight="1" spans="3:26" x14ac:dyDescent="0.25">
      <c r="C140" s="40"/>
      <c r="D140" s="41"/>
      <c r="E140" s="42"/>
      <c r="F140" s="43"/>
      <c r="G140" s="44"/>
      <c r="H140" s="45"/>
      <c r="I140" s="43"/>
      <c r="J140" s="40"/>
      <c r="K140" s="42"/>
      <c r="L140" s="42"/>
      <c r="M140" s="42"/>
      <c r="N140" s="42"/>
      <c r="O140" s="45"/>
      <c r="P140" s="45"/>
      <c r="Q140" s="43"/>
      <c r="R140" s="48"/>
      <c r="S140" s="42"/>
      <c r="T140" s="42">
        <f>IF(R140="","",SUMIFS($E$5:$E$19984,$D$5:$D$19984,R140))</f>
      </c>
      <c r="U140" s="42">
        <f>IF(R140="","",SUMIFS($L$5:$L$19984,$K$5:$K$19984,R140))</f>
      </c>
      <c r="V140" s="42">
        <f t="shared" si="4"/>
      </c>
      <c r="W140" s="42"/>
      <c r="X140" s="42">
        <f t="shared" si="5"/>
      </c>
      <c r="Y140" s="42"/>
      <c r="Z140" s="39"/>
    </row>
    <row r="141" ht="17.25" customHeight="1" spans="3:26" x14ac:dyDescent="0.25">
      <c r="C141" s="40"/>
      <c r="D141" s="41"/>
      <c r="E141" s="42"/>
      <c r="F141" s="43"/>
      <c r="G141" s="44"/>
      <c r="H141" s="45"/>
      <c r="I141" s="43"/>
      <c r="J141" s="40"/>
      <c r="K141" s="42"/>
      <c r="L141" s="42"/>
      <c r="M141" s="42"/>
      <c r="N141" s="42"/>
      <c r="O141" s="45"/>
      <c r="P141" s="45"/>
      <c r="Q141" s="43"/>
      <c r="R141" s="48"/>
      <c r="S141" s="42"/>
      <c r="T141" s="42">
        <f>IF(R141="","",SUMIFS($E$5:$E$19984,$D$5:$D$19984,R141))</f>
      </c>
      <c r="U141" s="42">
        <f>IF(R141="","",SUMIFS($L$5:$L$19984,$K$5:$K$19984,R141))</f>
      </c>
      <c r="V141" s="42">
        <f t="shared" si="4"/>
      </c>
      <c r="W141" s="42"/>
      <c r="X141" s="42">
        <f t="shared" si="5"/>
      </c>
      <c r="Y141" s="42"/>
      <c r="Z141" s="39"/>
    </row>
    <row r="142" ht="17.25" customHeight="1" spans="3:26" x14ac:dyDescent="0.25">
      <c r="C142" s="40"/>
      <c r="D142" s="41"/>
      <c r="E142" s="42"/>
      <c r="F142" s="43"/>
      <c r="G142" s="44"/>
      <c r="H142" s="45"/>
      <c r="I142" s="43"/>
      <c r="J142" s="40"/>
      <c r="K142" s="42"/>
      <c r="L142" s="42"/>
      <c r="M142" s="42"/>
      <c r="N142" s="42"/>
      <c r="O142" s="45"/>
      <c r="P142" s="45"/>
      <c r="Q142" s="43"/>
      <c r="R142" s="48"/>
      <c r="S142" s="42"/>
      <c r="T142" s="42">
        <f>IF(R142="","",SUMIFS($E$5:$E$19984,$D$5:$D$19984,R142))</f>
      </c>
      <c r="U142" s="42">
        <f>IF(R142="","",SUMIFS($L$5:$L$19984,$K$5:$K$19984,R142))</f>
      </c>
      <c r="V142" s="42">
        <f t="shared" si="4"/>
      </c>
      <c r="W142" s="42"/>
      <c r="X142" s="42">
        <f t="shared" si="5"/>
      </c>
      <c r="Y142" s="42"/>
      <c r="Z142" s="39"/>
    </row>
    <row r="143" ht="17.25" customHeight="1" spans="3:25" x14ac:dyDescent="0.25">
      <c r="C143" s="49"/>
      <c r="D143" s="50"/>
      <c r="E143" s="51"/>
      <c r="F143" s="52"/>
      <c r="G143" s="52"/>
      <c r="H143" s="52"/>
      <c r="I143" s="52"/>
      <c r="J143" s="53"/>
      <c r="K143" s="52"/>
      <c r="L143" s="52"/>
      <c r="M143" s="52"/>
      <c r="N143" s="52"/>
      <c r="O143" s="52"/>
      <c r="P143" s="52"/>
      <c r="Q143" s="52"/>
      <c r="R143" s="54"/>
      <c r="S143" s="52"/>
      <c r="T143" s="52"/>
      <c r="U143" s="52"/>
      <c r="V143" s="52"/>
      <c r="W143" s="52"/>
      <c r="X143" s="52"/>
      <c r="Y143" s="52"/>
    </row>
  </sheetData>
  <sheetProtection formatCells="0" formatColumns="0" formatRows="0" insertColumns="0" insertRows="0" insertHyperlinks="0" deleteColumns="0" deleteRows="0" sort="0" autoFilter="0" pivotTables="0"/>
  <mergeCells count="4">
    <mergeCell ref="C2:E3"/>
    <mergeCell ref="J2:L3"/>
    <mergeCell ref="R2:U3"/>
    <mergeCell ref="V2:W3"/>
  </mergeCells>
  <conditionalFormatting sqref="X5:X142">
    <cfRule type="containsText" dxfId="1" priority="1">
      <formula>NOT(ISERROR(SEARCH("需补仓",X5)))</formula>
    </cfRule>
  </conditionalFormatting>
  <dataValidations count="7">
    <dataValidation type="list" allowBlank="1" showInputMessage="1" showErrorMessage="1" sqref="D10:D1048576">
      <formula1>牙板!冲头名称数据源</formula1>
    </dataValidation>
    <dataValidation type="list" allowBlank="1" showInputMessage="1" showErrorMessage="1" sqref="D2:D3">
      <formula1>牙板!冲头名称数据源</formula1>
    </dataValidation>
    <dataValidation type="list" allowBlank="1" showInputMessage="1" showErrorMessage="1" sqref="D5:D1048576">
      <formula1>牙板!冲头名称数据源</formula1>
    </dataValidation>
    <dataValidation type="list" allowBlank="1" showInputMessage="1" showErrorMessage="1" sqref="K10:K1048576">
      <formula1>牙板!冲头名称数据源</formula1>
    </dataValidation>
    <dataValidation type="list" allowBlank="1" showInputMessage="1" showErrorMessage="1" sqref="K2:K3">
      <formula1>牙板!冲头名称数据源</formula1>
    </dataValidation>
    <dataValidation type="list" allowBlank="1" showInputMessage="1" showErrorMessage="1" sqref="K5:K1048576">
      <formula1>牙板!冲头名称数据源</formula1>
    </dataValidation>
    <dataValidation showInputMessage="1" showErrorMessage="1" sqref="R5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workbookViewId="0" zoomScale="100" zoomScaleNormal="100">
      <selection activeCell="A47" sqref="A47"/>
    </sheetView>
  </sheetViews>
  <sheetFormatPr defaultRowHeight="13.5" outlineLevelRow="0" outlineLevelCol="2" x14ac:dyDescent="0" defaultColWidth="9" customHeight="1"/>
  <cols>
    <col min="1" max="1" width="25.125" customWidth="1"/>
  </cols>
  <sheetData>
    <row r="1" spans="1:3" x14ac:dyDescent="0.25">
      <c r="A1" s="56" t="s">
        <v>205</v>
      </c>
      <c r="B1" s="57">
        <v>3.8</v>
      </c>
      <c r="C1" s="58" t="s">
        <v>206</v>
      </c>
    </row>
    <row r="2" spans="1:3" x14ac:dyDescent="0.25">
      <c r="A2" s="56" t="s">
        <v>201</v>
      </c>
      <c r="B2" s="57">
        <v>1.35</v>
      </c>
      <c r="C2" s="58" t="s">
        <v>207</v>
      </c>
    </row>
    <row r="3" spans="1:3" x14ac:dyDescent="0.25">
      <c r="A3" s="56" t="s">
        <v>208</v>
      </c>
      <c r="B3" s="57">
        <v>1.35</v>
      </c>
      <c r="C3" s="58" t="s">
        <v>207</v>
      </c>
    </row>
    <row r="4" spans="1:3" x14ac:dyDescent="0.25">
      <c r="A4" s="56" t="s">
        <v>209</v>
      </c>
      <c r="B4" s="57">
        <v>1.32</v>
      </c>
      <c r="C4" s="58" t="s">
        <v>207</v>
      </c>
    </row>
    <row r="5" spans="1:3" x14ac:dyDescent="0.25">
      <c r="A5" s="56" t="s">
        <v>210</v>
      </c>
      <c r="B5" s="57">
        <v>2.05</v>
      </c>
      <c r="C5" s="58" t="s">
        <v>207</v>
      </c>
    </row>
    <row r="6" spans="1:3" x14ac:dyDescent="0.25">
      <c r="A6" s="56" t="s">
        <v>210</v>
      </c>
      <c r="B6" s="57">
        <v>2</v>
      </c>
      <c r="C6" s="58" t="s">
        <v>207</v>
      </c>
    </row>
    <row r="7" spans="1:3" x14ac:dyDescent="0.25">
      <c r="A7" s="56" t="s">
        <v>211</v>
      </c>
      <c r="B7" s="57">
        <v>1.98</v>
      </c>
      <c r="C7" s="58" t="s">
        <v>207</v>
      </c>
    </row>
    <row r="8" spans="1:3" x14ac:dyDescent="0.25">
      <c r="A8" s="56" t="s">
        <v>212</v>
      </c>
      <c r="B8" s="57">
        <v>1.98</v>
      </c>
      <c r="C8" s="58" t="s">
        <v>207</v>
      </c>
    </row>
    <row r="9" spans="1:3" x14ac:dyDescent="0.25">
      <c r="A9" s="56" t="s">
        <v>213</v>
      </c>
      <c r="B9" s="57">
        <v>2</v>
      </c>
      <c r="C9" s="58" t="s">
        <v>207</v>
      </c>
    </row>
    <row r="10" spans="1:3" x14ac:dyDescent="0.25">
      <c r="A10" s="56" t="s">
        <v>214</v>
      </c>
      <c r="B10" s="57">
        <v>2.25</v>
      </c>
      <c r="C10" s="58" t="s">
        <v>207</v>
      </c>
    </row>
    <row r="11" spans="1:3" x14ac:dyDescent="0.25">
      <c r="A11" s="56" t="s">
        <v>215</v>
      </c>
      <c r="B11" s="57">
        <v>2</v>
      </c>
      <c r="C11" s="58" t="s">
        <v>207</v>
      </c>
    </row>
    <row r="12" spans="1:3" x14ac:dyDescent="0.25">
      <c r="A12" s="56" t="s">
        <v>216</v>
      </c>
      <c r="B12" s="57">
        <v>2.07</v>
      </c>
      <c r="C12" s="58" t="s">
        <v>207</v>
      </c>
    </row>
    <row r="13" spans="1:3" x14ac:dyDescent="0.25">
      <c r="A13" s="56" t="s">
        <v>217</v>
      </c>
      <c r="B13" s="57">
        <v>2.08</v>
      </c>
      <c r="C13" s="58" t="s">
        <v>207</v>
      </c>
    </row>
    <row r="14" spans="1:3" x14ac:dyDescent="0.25">
      <c r="A14" s="56" t="s">
        <v>218</v>
      </c>
      <c r="B14" s="57" t="s">
        <v>219</v>
      </c>
      <c r="C14" s="58" t="s">
        <v>207</v>
      </c>
    </row>
    <row r="15" spans="1:3" x14ac:dyDescent="0.25">
      <c r="A15" s="56" t="s">
        <v>220</v>
      </c>
      <c r="B15" s="57">
        <v>2.3</v>
      </c>
      <c r="C15" s="58" t="s">
        <v>207</v>
      </c>
    </row>
    <row r="16" spans="1:3" x14ac:dyDescent="0.25">
      <c r="A16" s="56" t="s">
        <v>221</v>
      </c>
      <c r="B16" s="57">
        <v>2.35</v>
      </c>
      <c r="C16" s="58" t="s">
        <v>207</v>
      </c>
    </row>
    <row r="17" spans="1:3" x14ac:dyDescent="0.25">
      <c r="A17" s="56" t="s">
        <v>222</v>
      </c>
      <c r="B17" s="57">
        <v>2.3</v>
      </c>
      <c r="C17" s="58" t="s">
        <v>207</v>
      </c>
    </row>
    <row r="18" spans="1:3" x14ac:dyDescent="0.25">
      <c r="A18" s="56" t="s">
        <v>222</v>
      </c>
      <c r="B18" s="57">
        <v>2.35</v>
      </c>
      <c r="C18" s="58" t="s">
        <v>207</v>
      </c>
    </row>
    <row r="19" spans="1:3" x14ac:dyDescent="0.25">
      <c r="A19" s="56" t="s">
        <v>203</v>
      </c>
      <c r="B19" s="57">
        <v>1.62</v>
      </c>
      <c r="C19" s="58" t="s">
        <v>207</v>
      </c>
    </row>
    <row r="20" spans="1:3" x14ac:dyDescent="0.25">
      <c r="A20" s="56" t="s">
        <v>223</v>
      </c>
      <c r="B20" s="57">
        <v>1.6</v>
      </c>
      <c r="C20" s="58" t="s">
        <v>207</v>
      </c>
    </row>
    <row r="21" spans="1:3" x14ac:dyDescent="0.25">
      <c r="A21" s="56" t="s">
        <v>224</v>
      </c>
      <c r="B21" s="57">
        <v>1.6</v>
      </c>
      <c r="C21" s="58" t="s">
        <v>207</v>
      </c>
    </row>
    <row r="22" spans="1:3" x14ac:dyDescent="0.25">
      <c r="A22" s="56" t="s">
        <v>225</v>
      </c>
      <c r="B22" s="57">
        <v>1.65</v>
      </c>
      <c r="C22" s="58" t="s">
        <v>207</v>
      </c>
    </row>
    <row r="23" spans="1:3" x14ac:dyDescent="0.25">
      <c r="A23" s="56" t="s">
        <v>226</v>
      </c>
      <c r="B23" s="57">
        <v>2.35</v>
      </c>
      <c r="C23" s="58" t="s">
        <v>207</v>
      </c>
    </row>
    <row r="24" spans="1:3" x14ac:dyDescent="0.25">
      <c r="A24" s="56" t="s">
        <v>227</v>
      </c>
      <c r="B24" s="57">
        <v>2.35</v>
      </c>
      <c r="C24" s="58" t="s">
        <v>207</v>
      </c>
    </row>
    <row r="25" spans="1:3" x14ac:dyDescent="0.25">
      <c r="A25" s="56" t="s">
        <v>228</v>
      </c>
      <c r="B25" s="57">
        <v>1.6</v>
      </c>
      <c r="C25" s="58" t="s">
        <v>229</v>
      </c>
    </row>
    <row r="26" spans="1:3" x14ac:dyDescent="0.25">
      <c r="A26" s="56" t="s">
        <v>230</v>
      </c>
      <c r="B26" s="57">
        <v>2.35</v>
      </c>
      <c r="C26" s="58" t="s">
        <v>229</v>
      </c>
    </row>
    <row r="27" spans="1:3" x14ac:dyDescent="0.25">
      <c r="A27" s="56" t="s">
        <v>231</v>
      </c>
      <c r="B27" s="57">
        <v>2.35</v>
      </c>
      <c r="C27" s="58" t="s">
        <v>229</v>
      </c>
    </row>
    <row r="28" spans="1:3" x14ac:dyDescent="0.25">
      <c r="A28" s="56" t="s">
        <v>232</v>
      </c>
      <c r="B28" s="57">
        <v>2.92</v>
      </c>
      <c r="C28" s="58" t="s">
        <v>206</v>
      </c>
    </row>
    <row r="29" spans="1:3" x14ac:dyDescent="0.25">
      <c r="A29" s="56" t="s">
        <v>233</v>
      </c>
      <c r="B29" s="57">
        <v>3.7</v>
      </c>
      <c r="C29" s="58" t="s">
        <v>206</v>
      </c>
    </row>
    <row r="30" spans="1:3" x14ac:dyDescent="0.25">
      <c r="A30" s="56" t="s">
        <v>234</v>
      </c>
      <c r="B30" s="57">
        <v>3.7</v>
      </c>
      <c r="C30" s="58" t="s">
        <v>206</v>
      </c>
    </row>
    <row r="31" spans="1:3" x14ac:dyDescent="0.25">
      <c r="A31" s="56" t="s">
        <v>235</v>
      </c>
      <c r="B31" s="57">
        <v>3.7</v>
      </c>
      <c r="C31" s="58" t="s">
        <v>206</v>
      </c>
    </row>
    <row r="32" spans="1:3" x14ac:dyDescent="0.25">
      <c r="A32" s="56" t="s">
        <v>236</v>
      </c>
      <c r="B32" s="57">
        <v>3.7</v>
      </c>
      <c r="C32" s="58" t="s">
        <v>206</v>
      </c>
    </row>
    <row r="33" spans="1:3" x14ac:dyDescent="0.25">
      <c r="A33" s="56" t="s">
        <v>237</v>
      </c>
      <c r="B33" s="57">
        <v>4.4</v>
      </c>
      <c r="C33" s="58" t="s">
        <v>206</v>
      </c>
    </row>
    <row r="34" spans="1:3" x14ac:dyDescent="0.25">
      <c r="A34" s="56" t="s">
        <v>238</v>
      </c>
      <c r="B34" s="57">
        <v>5</v>
      </c>
      <c r="C34" s="58" t="s">
        <v>206</v>
      </c>
    </row>
    <row r="35" spans="1:3" x14ac:dyDescent="0.25">
      <c r="A35" s="56" t="s">
        <v>239</v>
      </c>
      <c r="B35" s="57">
        <v>5.2</v>
      </c>
      <c r="C35" s="58" t="s">
        <v>206</v>
      </c>
    </row>
    <row r="36" spans="1:3" x14ac:dyDescent="0.25">
      <c r="A36" s="56" t="s">
        <v>240</v>
      </c>
      <c r="B36" s="57">
        <v>4.58</v>
      </c>
      <c r="C36" s="58" t="s">
        <v>206</v>
      </c>
    </row>
    <row r="37" spans="1:3" x14ac:dyDescent="0.25">
      <c r="A37" s="56" t="s">
        <v>241</v>
      </c>
      <c r="B37" s="57">
        <v>4.58</v>
      </c>
      <c r="C37" s="58" t="s">
        <v>206</v>
      </c>
    </row>
    <row r="38" spans="1:3" x14ac:dyDescent="0.25">
      <c r="A38" s="56" t="s">
        <v>242</v>
      </c>
      <c r="B38" s="57">
        <v>4.58</v>
      </c>
      <c r="C38" s="58" t="s">
        <v>206</v>
      </c>
    </row>
    <row r="39" spans="1:3" x14ac:dyDescent="0.25">
      <c r="A39" s="56" t="s">
        <v>243</v>
      </c>
      <c r="B39" s="57">
        <v>3.7</v>
      </c>
      <c r="C39" s="58" t="s">
        <v>244</v>
      </c>
    </row>
    <row r="40" spans="1:3" x14ac:dyDescent="0.25">
      <c r="A40" s="56" t="s">
        <v>245</v>
      </c>
      <c r="B40" s="57">
        <v>5.25</v>
      </c>
      <c r="C40" s="58" t="s">
        <v>244</v>
      </c>
    </row>
    <row r="41" spans="1:3" x14ac:dyDescent="0.25">
      <c r="A41" s="56" t="s">
        <v>246</v>
      </c>
      <c r="B41" s="57">
        <v>5.25</v>
      </c>
      <c r="C41" s="58" t="s">
        <v>244</v>
      </c>
    </row>
    <row r="42" spans="1:3" x14ac:dyDescent="0.25">
      <c r="A42" s="56" t="s">
        <v>247</v>
      </c>
      <c r="B42" s="57">
        <v>5.25</v>
      </c>
      <c r="C42" s="58" t="s">
        <v>244</v>
      </c>
    </row>
    <row r="43" spans="1:3" x14ac:dyDescent="0.25">
      <c r="A43" s="56" t="s">
        <v>248</v>
      </c>
      <c r="B43" s="57">
        <v>4.85</v>
      </c>
      <c r="C43" s="58" t="s">
        <v>244</v>
      </c>
    </row>
    <row r="44" spans="1:3" x14ac:dyDescent="0.25">
      <c r="A44" s="56" t="s">
        <v>249</v>
      </c>
      <c r="B44" s="57">
        <v>3.7</v>
      </c>
      <c r="C44" s="58" t="s">
        <v>250</v>
      </c>
    </row>
    <row r="45" spans="1:3" x14ac:dyDescent="0.25">
      <c r="A45" s="56" t="s">
        <v>251</v>
      </c>
      <c r="B45" s="57">
        <v>4.4</v>
      </c>
      <c r="C45" s="58" t="s">
        <v>250</v>
      </c>
    </row>
    <row r="46" spans="1:3" x14ac:dyDescent="0.25">
      <c r="A46" s="56" t="s">
        <v>246</v>
      </c>
      <c r="B46" s="57">
        <v>5.1</v>
      </c>
      <c r="C46" s="58" t="s">
        <v>250</v>
      </c>
    </row>
    <row r="47" spans="1:3" x14ac:dyDescent="0.25">
      <c r="A47" s="56" t="s">
        <v>252</v>
      </c>
      <c r="B47" s="57">
        <v>2.92</v>
      </c>
      <c r="C47" s="58" t="s">
        <v>253</v>
      </c>
    </row>
    <row r="48" spans="1:3" x14ac:dyDescent="0.25">
      <c r="A48" s="56" t="s">
        <v>254</v>
      </c>
      <c r="B48" s="57">
        <v>2.3</v>
      </c>
      <c r="C48" s="58" t="s">
        <v>253</v>
      </c>
    </row>
    <row r="49" spans="1:3" x14ac:dyDescent="0.25">
      <c r="A49" s="56" t="s">
        <v>255</v>
      </c>
      <c r="B49" s="57">
        <v>2.75</v>
      </c>
      <c r="C49" s="58" t="s">
        <v>253</v>
      </c>
    </row>
    <row r="50" spans="1:3" x14ac:dyDescent="0.25">
      <c r="A50" s="56" t="s">
        <v>256</v>
      </c>
      <c r="B50" s="57">
        <v>3.35</v>
      </c>
      <c r="C50" s="58" t="s">
        <v>253</v>
      </c>
    </row>
    <row r="51" spans="1:3" x14ac:dyDescent="0.25">
      <c r="A51" s="56" t="s">
        <v>257</v>
      </c>
      <c r="B51" s="57">
        <v>3.34</v>
      </c>
      <c r="C51" s="58" t="s">
        <v>253</v>
      </c>
    </row>
    <row r="52" spans="1:3" x14ac:dyDescent="0.25">
      <c r="A52" s="56" t="s">
        <v>258</v>
      </c>
      <c r="B52" s="57">
        <v>3.22</v>
      </c>
      <c r="C52" s="58" t="s">
        <v>253</v>
      </c>
    </row>
    <row r="53" spans="1:3" x14ac:dyDescent="0.25">
      <c r="A53" s="56" t="s">
        <v>259</v>
      </c>
      <c r="B53" s="57">
        <v>3.2</v>
      </c>
      <c r="C53" s="58" t="s">
        <v>253</v>
      </c>
    </row>
    <row r="54" spans="1:3" x14ac:dyDescent="0.25">
      <c r="A54" s="56" t="s">
        <v>260</v>
      </c>
      <c r="B54" s="57">
        <v>3.4</v>
      </c>
      <c r="C54" s="58" t="s">
        <v>253</v>
      </c>
    </row>
    <row r="55" spans="1:3" x14ac:dyDescent="0.25">
      <c r="A55" s="56" t="s">
        <v>261</v>
      </c>
      <c r="B55" s="57">
        <v>3.35</v>
      </c>
      <c r="C55" s="58" t="s">
        <v>253</v>
      </c>
    </row>
    <row r="56" spans="1:3" x14ac:dyDescent="0.25">
      <c r="A56" s="56" t="s">
        <v>262</v>
      </c>
      <c r="B56" s="57">
        <v>3.4</v>
      </c>
      <c r="C56" s="58" t="s">
        <v>253</v>
      </c>
    </row>
    <row r="57" spans="1:3" x14ac:dyDescent="0.25">
      <c r="A57" s="56" t="s">
        <v>262</v>
      </c>
      <c r="B57" s="57">
        <v>3.45</v>
      </c>
      <c r="C57" s="58" t="s">
        <v>253</v>
      </c>
    </row>
    <row r="58" spans="1:3" x14ac:dyDescent="0.25">
      <c r="A58" s="56" t="s">
        <v>263</v>
      </c>
      <c r="B58" s="57">
        <v>3.32</v>
      </c>
      <c r="C58" s="58" t="s">
        <v>253</v>
      </c>
    </row>
    <row r="59" spans="1:3" x14ac:dyDescent="0.25">
      <c r="A59" s="56" t="s">
        <v>264</v>
      </c>
      <c r="B59" s="57">
        <v>3.32</v>
      </c>
      <c r="C59" s="58" t="s">
        <v>253</v>
      </c>
    </row>
    <row r="60" spans="1:3" x14ac:dyDescent="0.25">
      <c r="A60" s="56" t="s">
        <v>265</v>
      </c>
      <c r="B60" s="57">
        <v>3.13</v>
      </c>
      <c r="C60" s="58" t="s">
        <v>253</v>
      </c>
    </row>
    <row r="61" spans="1:3" x14ac:dyDescent="0.25">
      <c r="A61" s="56" t="s">
        <v>266</v>
      </c>
      <c r="B61" s="57">
        <v>3.03</v>
      </c>
      <c r="C61" s="58" t="s">
        <v>253</v>
      </c>
    </row>
    <row r="62" spans="1:3" x14ac:dyDescent="0.25">
      <c r="A62" s="56" t="s">
        <v>267</v>
      </c>
      <c r="B62" s="57">
        <v>3.2</v>
      </c>
      <c r="C62" s="58" t="s">
        <v>253</v>
      </c>
    </row>
    <row r="63" spans="1:3" x14ac:dyDescent="0.25">
      <c r="A63" s="56" t="s">
        <v>268</v>
      </c>
      <c r="B63" s="57">
        <v>3.2</v>
      </c>
      <c r="C63" s="58" t="s">
        <v>253</v>
      </c>
    </row>
    <row r="64" spans="1:3" x14ac:dyDescent="0.25">
      <c r="A64" s="56" t="s">
        <v>269</v>
      </c>
      <c r="B64" s="57">
        <v>3.34</v>
      </c>
      <c r="C64" s="58" t="s">
        <v>253</v>
      </c>
    </row>
    <row r="65" spans="1:3" x14ac:dyDescent="0.25">
      <c r="A65" s="56" t="s">
        <v>270</v>
      </c>
      <c r="B65" s="57">
        <v>3.2</v>
      </c>
      <c r="C65" s="58" t="s">
        <v>253</v>
      </c>
    </row>
    <row r="66" spans="1:3" x14ac:dyDescent="0.25">
      <c r="A66" s="56" t="s">
        <v>271</v>
      </c>
      <c r="B66" s="57">
        <v>4.32</v>
      </c>
      <c r="C66" s="58" t="s">
        <v>253</v>
      </c>
    </row>
    <row r="67" spans="1:3" x14ac:dyDescent="0.25">
      <c r="A67" s="56" t="s">
        <v>272</v>
      </c>
      <c r="B67" s="57">
        <v>4.05</v>
      </c>
      <c r="C67" s="58" t="s">
        <v>253</v>
      </c>
    </row>
    <row r="68" spans="1:3" x14ac:dyDescent="0.25">
      <c r="A68" s="56" t="s">
        <v>211</v>
      </c>
      <c r="B68" s="57">
        <v>1.98</v>
      </c>
      <c r="C68" s="58" t="s">
        <v>273</v>
      </c>
    </row>
    <row r="69" spans="1:3" x14ac:dyDescent="0.25">
      <c r="A69" s="56" t="s">
        <v>274</v>
      </c>
      <c r="B69" s="57">
        <v>3.2</v>
      </c>
      <c r="C69" s="58" t="s">
        <v>273</v>
      </c>
    </row>
    <row r="70" spans="1:3" x14ac:dyDescent="0.25">
      <c r="A70" s="56" t="s">
        <v>275</v>
      </c>
      <c r="B70" s="57">
        <v>3.35</v>
      </c>
      <c r="C70" s="58" t="s">
        <v>273</v>
      </c>
    </row>
    <row r="71" spans="1:3" x14ac:dyDescent="0.25">
      <c r="A71" s="56" t="s">
        <v>276</v>
      </c>
      <c r="B71" s="57">
        <v>3.32</v>
      </c>
      <c r="C71" s="58" t="s">
        <v>273</v>
      </c>
    </row>
    <row r="72" spans="1:3" x14ac:dyDescent="0.25">
      <c r="A72" s="56" t="s">
        <v>277</v>
      </c>
      <c r="B72" s="57">
        <v>5.25</v>
      </c>
      <c r="C72" s="58" t="s">
        <v>273</v>
      </c>
    </row>
    <row r="73" spans="1:3" x14ac:dyDescent="0.25">
      <c r="A73" s="56" t="s">
        <v>278</v>
      </c>
      <c r="B73" s="57">
        <v>2.9</v>
      </c>
      <c r="C73" s="58" t="s">
        <v>279</v>
      </c>
    </row>
    <row r="74" spans="1:3" x14ac:dyDescent="0.25">
      <c r="A74" s="56"/>
      <c r="B74" s="57"/>
      <c r="C74" s="5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冲头</vt:lpstr>
      <vt:lpstr>牙板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Administrator</cp:lastModifiedBy>
  <dcterms:created xsi:type="dcterms:W3CDTF">2026-06-13T00:25:00Z</dcterms:created>
  <dcterms:modified xsi:type="dcterms:W3CDTF">2026-07-03T02:46:40Z</dcterms:modified>
</cp:coreProperties>
</file>